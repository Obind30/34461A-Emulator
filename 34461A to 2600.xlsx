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720" documentId="11_F25DC773A252ABDACC1048A921D94B805ADE58F2" xr6:coauthVersionLast="47" xr6:coauthVersionMax="47" xr10:uidLastSave="{4C60EE9D-19F1-4237-848A-8110F63DE5FD}"/>
  <bookViews>
    <workbookView xWindow="28680" yWindow="-7935" windowWidth="16440" windowHeight="290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<sst xmlns="http://schemas.openxmlformats.org/spreadsheetml/2006/main" count="1743" uniqueCount="587">
  <si>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</si>
  <si>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</si>
  <si>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</si>
  <si>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</si>
  <si>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</si>
  <si>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</si>
  <si>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</si>
  <si>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</si>
  <si>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</si>
  <si>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</si>
  <si>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</si>
  <si>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</si>
  <si>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</si>
  <si>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</si>
  <si>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</si>
  <si>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</si>
  <si>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</si>
  <si>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</si>
  <si>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</si>
  <si>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</si>
  <si>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</si>
  <si>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</si>
  <si>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</si>
  <si>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</si>
  <si>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</si>
  <si>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</si>
  <si>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</si>
  <si>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</si>
  <si>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</si>
  <si>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</si>
  <si>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</si>
  <si>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</si>
  <si>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</si>
  <si>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</si>
  <si>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</si>
  <si>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</si>
  <si>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</si>
  <si>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</si>
  <si>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</si>
  <si>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</si>
  <si>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</si>
  <si>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</si>
  <si>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</si>
  <si>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</si>
  <si>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</si>
  <si>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</si>
  <si>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</si>
  <si>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</si>
  <si>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</si>
  <si>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</si>
  <si>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</si>
  <si>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</si>
  <si>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</si>
  <si>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</si>
  <si>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</si>
  <si>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</si>
  <si>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</si>
  <si>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</si>
  <si>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</si>
  <si>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</si>
  <si>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</si>
  <si>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</si>
  <si>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</si>
  <si>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</si>
  <si>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</si>
  <si>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</si>
  <si>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</si>
  <si>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</si>
  <si>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</si>
  <si>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</si>
  <si>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</si>
  <si>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</si>
  <si>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</si>
  <si>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</si>
  <si>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</si>
  <si>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</si>
  <si>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</si>
  <si>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</si>
  <si>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</si>
  <si>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</si>
  <si>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</si>
  <si>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</si>
  <si>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</si>
  <si>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</si>
  <si>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</si>
  <si>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</si>
  <si>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</si>
  <si>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</si>
  <si>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</si>
  <si>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</si>
  <si>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</si>
  <si>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</si>
  <si>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</si>
  <si>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</si>
  <si>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</si>
  <si>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</si>
  <si>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</si>
  <si>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</si>
  <si>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</si>
  <si>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</si>
  <si>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</si>
  <si>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</si>
  <si>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</si>
  <si>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</si>
  <si>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</si>
  <si>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</si>
  <si>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</si>
  <si>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</si>
  <si>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</si>
  <si>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</si>
  <si>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</si>
  <si>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</si>
  <si>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</si>
  <si>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</si>
  <si>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</si>
  <si>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</si>
  <si>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</si>
  <si>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</si>
  <si>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</si>
  <si>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</si>
  <si>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</si>
  <si>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</si>
  <si>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</si>
  <si>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</si>
  <si>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</si>
  <si>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</si>
  <si>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</si>
  <si>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</si>
  <si>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</si>
  <si>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</si>
  <si>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</si>
  <si>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</si>
  <si>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</si>
  <si>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</si>
  <si>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</si>
  <si>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</si>
  <si>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</si>
  <si>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</si>
  <si>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</si>
  <si>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</si>
  <si>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</si>
  <si>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</si>
  <si>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</si>
  <si>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</si>
  <si>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</si>
  <si>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</si>
  <si>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</si>
  <si>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</si>
  <si>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</si>
  <si>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</si>
  <si>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</si>
  <si>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</si>
  <si>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</si>
  <si>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</si>
  <si>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</si>
  <si>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</si>
  <si>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</si>
  <si>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</si>
  <si>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</si>
  <si>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</si>
  <si>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</si>
  <si>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</si>
  <si>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</si>
  <si>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</si>
  <si>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</si>
  <si>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</si>
  <si>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</si>
  <si>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</si>
  <si>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</si>
  <si>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</si>
  <si>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</si>
  <si>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</si>
  <si>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</si>
  <si>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</si>
  <si>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</si>
  <si>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</si>
  <si>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</si>
  <si>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</si>
  <si>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</si>
  <si>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</si>
  <si>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</si>
  <si>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</si>
  <si>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</si>
  <si>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</si>
  <si>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</si>
  <si>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</si>
  <si>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</si>
  <si>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</si>
  <si>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</si>
  <si>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</si>
  <si>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</si>
  <si>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</si>
  <si>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</si>
  <si>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</si>
  <si>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</si>
  <si>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</si>
  <si>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</si>
  <si>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</si>
  <si>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</si>
  <si>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</si>
  <si>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</si>
  <si>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</si>
  <si>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</si>
  <si>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</si>
  <si>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</si>
  <si>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</si>
  <si>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</si>
  <si>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</si>
  <si>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</si>
  <si>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</si>
  <si>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</si>
  <si>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</si>
  <si>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</si>
  <si>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</si>
  <si>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</si>
  <si>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</si>
  <si>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</si>
  <si>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</si>
  <si>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</si>
  <si>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</si>
  <si>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</si>
  <si>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</si>
  <si>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</si>
  <si>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</si>
  <si>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</si>
  <si>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</si>
  <si>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</si>
  <si>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</si>
  <si>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</si>
  <si>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</si>
  <si>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</si>
  <si>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</si>
  <si>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</si>
  <si>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</si>
  <si>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</si>
  <si>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</si>
  <si>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</si>
  <si>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</si>
  <si>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</si>
  <si>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</si>
  <si>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</si>
  <si>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</si>
  <si>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</si>
  <si>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</si>
  <si>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</si>
  <si>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</si>
  <si>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</si>
  <si>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</si>
  <si>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</si>
  <si>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</si>
  <si>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</si>
  <si>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</si>
  <si>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</si>
  <si>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</si>
  <si>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</si>
  <si>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</si>
  <si>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</si>
  <si>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</si>
  <si>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</si>
  <si>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</si>
  <si>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</si>
  <si>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</si>
  <si>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</si>
  <si>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</si>
  <si>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</si>
  <si>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</si>
  <si>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</si>
  <si>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</si>
  <si>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</si>
  <si>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</si>
  <si>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</si>
  <si>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</si>
  <si>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</si>
  <si>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</si>
  <si>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</si>
  <si>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</si>
  <si>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</si>
  <si>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</si>
  <si>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</si>
  <si>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</si>
  <si>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</si>
  <si>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</si>
  <si>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</si>
  <si>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</si>
  <si>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</si>
  <si>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</si>
  <si>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</si>
  <si>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</si>
  <si>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</si>
  <si>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</si>
  <si>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</si>
  <si>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</si>
  <si>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</si>
  <si>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</si>
  <si>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</si>
  <si>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</si>
  <si>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</si>
  <si>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</si>
  <si>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</si>
  <si>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</si>
  <si>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</si>
  <si>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</si>
  <si>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</si>
  <si>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</si>
  <si>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</si>
  <si>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</si>
  <si>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</si>
  <si>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</si>
  <si>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</si>
  <si>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</si>
  <si>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</si>
  <si>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</si>
  <si>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</si>
  <si>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</si>
  <si>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</si>
  <si>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</si>
  <si>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</si>
  <si>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</si>
  <si>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</si>
  <si>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</si>
  <si>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</si>
  <si>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</si>
  <si>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</si>
  <si>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</si>
  <si>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</si>
  <si>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</si>
  <si>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</si>
  <si>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</si>
  <si>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</si>
  <si>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</si>
  <si>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</si>
  <si>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</si>
  <si>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</si>
  <si>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</si>
  <si>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</si>
  <si>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</si>
  <si>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</si>
  <si>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</si>
  <si>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</si>
  <si>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</si>
  <si>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</si>
  <si>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</si>
  <si>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</si>
  <si>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</si>
  <si>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</si>
  <si>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</si>
  <si>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</si>
  <si>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</si>
  <si>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</si>
  <si>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</si>
  <si>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</si>
  <si>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</si>
  <si>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</si>
  <si>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</si>
  <si>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</si>
  <si>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</si>
  <si>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</si>
  <si>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</si>
  <si>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</si>
  <si>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</si>
  <si>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</si>
  <si>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</si>
  <si>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</si>
  <si>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</si>
  <si>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</si>
  <si>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</si>
  <si>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</si>
  <si>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</si>
  <si>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</si>
  <si>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</si>
  <si>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</si>
  <si>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</si>
  <si>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</si>
  <si>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</si>
  <si>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</si>
  <si>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</si>
  <si>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</si>
  <si>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</si>
  <si>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</si>
  <si>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</si>
  <si>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</si>
  <si>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</si>
  <si>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</si>
  <si>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</si>
  <si>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</si>
  <si>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</si>
  <si>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</si>
  <si>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</si>
  <si>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</si>
  <si>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</si>
  <si>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</si>
  <si>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</si>
  <si>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</si>
  <si>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</si>
  <si>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</si>
  <si>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</si>
  <si>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</si>
  <si>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</si>
  <si>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</si>
  <si>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</si>
  <si>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</si>
  <si>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</si>
  <si>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</si>
  <si>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</si>
  <si>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</si>
  <si>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</si>
  <si>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</si>
  <si>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</si>
  <si>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</si>
  <si>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</si>
  <si>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</si>
  <si>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</si>
  <si>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</si>
  <si>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</si>
  <si>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</si>
  <si>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</si>
  <si>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</si>
  <si>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</si>
  <si>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</si>
  <si>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</si>
  <si>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</si>
  <si>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</si>
  <si>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</si>
  <si>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</si>
  <si>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</si>
  <si>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</si>
  <si>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</si>
  <si>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</si>
  <si>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</si>
  <si>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</si>
  <si>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</si>
  <si>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</si>
  <si>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</si>
  <si>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</si>
  <si>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</si>
  <si>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</si>
  <si>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</si>
  <si>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</si>
  <si>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</si>
  <si>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</si>
  <si>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</si>
  <si>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</si>
  <si>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</si>
  <si>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</si>
  <si>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</si>
  <si>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</si>
  <si>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</si>
  <si>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</si>
  <si>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</si>
  <si>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</si>
  <si>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</si>
  <si>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</si>
  <si>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</si>
  <si>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</si>
  <si>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</si>
  <si>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</si>
  <si>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</si>
  <si>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</si>
  <si>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</si>
  <si>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</si>
  <si>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</si>
  <si>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</si>
  <si>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</si>
  <si>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</si>
  <si>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</si>
  <si>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</si>
  <si>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</si>
  <si>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</si>
  <si>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</si>
  <si>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</si>
  <si>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</si>
  <si>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</si>
  <si>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</si>
  <si>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</si>
  <si>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</si>
  <si>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</si>
  <si>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</si>
  <si>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</si>
  <si>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</si>
  <si>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</si>
  <si>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</si>
  <si>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</si>
  <si>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</si>
  <si>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</si>
  <si>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</si>
  <si>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</si>
  <si>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</si>
  <si>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</si>
  <si>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</si>
  <si>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</si>
  <si>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</si>
  <si>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</si>
  <si>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</si>
  <si>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</si>
  <si>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</si>
  <si>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</si>
  <si>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</si>
  <si>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</si>
  <si>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</si>
  <si>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</si>
  <si>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</si>
  <si>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</si>
  <si>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</si>
  <si>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</si>
  <si>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</si>
  <si>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</si>
  <si>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</si>
  <si>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</si>
  <si>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</si>
  <si>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</si>
  <si>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</si>
  <si>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</si>
  <si>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</si>
  <si>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</si>
  <si>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</si>
  <si>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</si>
  <si>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</si>
  <si>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</si>
  <si>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</si>
  <si>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</si>
  <si>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</si>
  <si>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</si>
  <si>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</si>
  <si>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</si>
  <si>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</si>
  <si>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</si>
  <si>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</si>
  <si>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</si>
  <si>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</si>
  <si>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</si>
  <si>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</si>
  <si>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</si>
  <si>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</si>
  <si>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</si>
  <si>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</si>
  <si>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</si>
  <si>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</si>
  <si>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</si>
  <si>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</si>
  <si>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</si>
  <si>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</si>
  <si>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</si>
  <si>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</si>
  <si>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</si>
  <si>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</si>
  <si>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</si>
  <si>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</si>
  <si>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</si>
  <si>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</si>
  <si>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</si>
  <si>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</si>
  <si>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</si>
  <si>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</si>
  <si>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</si>
  <si>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</si>
  <si>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</si>
  <si>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</si>
  <si>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</si>
  <si>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</si>
  <si>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</si>
  <si>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</si>
  <si>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</si>
  <si>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</si>
  <si>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</si>
  <si>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</si>
  <si>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</si>
  <si>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</si>
  <si>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</si>
  <si>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</si>
  <si>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</si>
  <si>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</si>
  <si>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</si>
  <si>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</si>
  <si>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</si>
  <si>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</si>
  <si>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</si>
  <si>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</si>
  <si>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</si>
  <si>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</si>
  <si>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</si>
  <si>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</si>
  <si>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</si>
  <si>
    <t>Does not apply to 34461</t>
  </si>
  <si>
    <t>No self test on 6500</t>
  </si>
  <si>
    <t>No calibration control on 6500</t>
  </si>
  <si>
    <t>TCouple Does not apply to 34461 FTHermistor not available on 6500</t>
  </si>
  <si>
    <t>Values limited by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</si>
</sst>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0.24130879345603273</c:v>
                </c:pt>
                <c:pt idx="1">
                  <c:v>0</c:v>
                </c:pt>
                <c:pt idx="2">
                  <c:v>0.29387755102040819</c:v>
                </c:pt>
                <c:pt idx="3">
                  <c:v>6.1349693251533742E-2</c:v>
                </c:pt>
                <c:pt idx="4">
                  <c:v>0.40573770491803279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zoomScale="85" zoomScaleNormal="85" workbookViewId="0">
      <pane ySplit="1" topLeftCell="A134" activePane="bottomLeft" state="frozen"/>
      <selection pane="bottomLeft" activeCell="D187" sqref="D187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504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70" t="s">
        <v>477</v>
      </c>
      <c r="B2" s="71"/>
      <c r="C2" s="72"/>
      <c r="D2" s="66" t="s">
        <v>52</v>
      </c>
      <c r="E2" s="67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513</v>
      </c>
      <c r="H3">
        <f>COUNTIF(C1:C522, "Not Started")/COUNTA(C1:C522)</f>
        <v>0.24130879345603273</v>
      </c>
    </row>
    <row r="4" spans="1:8" x14ac:dyDescent="0.25">
      <c r="A4" s="14" t="b">
        <v>1</v>
      </c>
      <c r="B4" s="39" t="b">
        <v>1</v>
      </c>
      <c r="C4" s="15" t="s">
        <v>493</v>
      </c>
      <c r="D4" s="54" t="s">
        <v>2</v>
      </c>
      <c r="E4" s="3" t="s">
        <v>476</v>
      </c>
      <c r="G4" t="s">
        <v>494</v>
      </c>
      <c r="H4">
        <f>COUNTIF(C2:C523, "Working")/COUNTA(C2:C523)</f>
        <v>0</v>
      </c>
    </row>
    <row r="5" spans="1:8" x14ac:dyDescent="0.25">
      <c r="A5" s="14" t="b">
        <v>0</v>
      </c>
      <c r="B5" s="39" t="b">
        <v>0</v>
      </c>
      <c r="C5" s="15" t="s">
        <v>493</v>
      </c>
      <c r="D5" s="54" t="s">
        <v>3</v>
      </c>
      <c r="E5" s="3"/>
      <c r="G5" t="s">
        <v>493</v>
      </c>
      <c r="H5">
        <f>COUNTIF(C3:C524, "Supported")/COUNTA(C3:C524)</f>
        <v>0.29387755102040819</v>
      </c>
    </row>
    <row r="6" spans="1:8" x14ac:dyDescent="0.25">
      <c r="A6" s="14" t="b">
        <v>1</v>
      </c>
      <c r="B6" s="39" t="b">
        <v>1</v>
      </c>
      <c r="C6" s="15" t="s">
        <v>503</v>
      </c>
      <c r="D6" s="54" t="s">
        <v>4</v>
      </c>
      <c r="E6" s="3"/>
      <c r="G6" t="s">
        <v>503</v>
      </c>
      <c r="H6">
        <f>COUNTIF(C4:C525, "Partial Support")/COUNTA(C4:C525)</f>
        <v>6.1349693251533742E-2</v>
      </c>
    </row>
    <row r="7" spans="1:8" x14ac:dyDescent="0.25">
      <c r="A7" s="14" t="b">
        <v>0</v>
      </c>
      <c r="B7" s="39" t="b">
        <v>0</v>
      </c>
      <c r="C7" s="15" t="s">
        <v>493</v>
      </c>
      <c r="D7" s="54" t="s">
        <v>5</v>
      </c>
      <c r="E7" s="3"/>
      <c r="G7" t="s">
        <v>502</v>
      </c>
      <c r="H7">
        <f>COUNTIF(C5:C526, "Not Supported")/COUNTA(C5:C526)</f>
        <v>0.40573770491803279</v>
      </c>
    </row>
    <row r="8" spans="1:8" x14ac:dyDescent="0.25">
      <c r="A8" s="14" t="b">
        <v>0</v>
      </c>
      <c r="B8" s="39" t="b">
        <v>0</v>
      </c>
      <c r="C8" s="15" t="s">
        <v>513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503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513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503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503</v>
      </c>
      <c r="D12" s="55" t="s">
        <v>9</v>
      </c>
      <c r="E12" s="4"/>
    </row>
    <row r="13" spans="1:8" ht="15.75" thickBot="1" x14ac:dyDescent="0.3">
      <c r="D13" s="66" t="s">
        <v>53</v>
      </c>
      <c r="E13" s="67"/>
    </row>
    <row r="14" spans="1:8" ht="45.75" customHeight="1" x14ac:dyDescent="0.25">
      <c r="A14" s="11" t="b">
        <v>0</v>
      </c>
      <c r="B14" s="12" t="b">
        <v>0</v>
      </c>
      <c r="C14" s="13" t="s">
        <v>513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513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513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513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513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513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513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513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513</v>
      </c>
      <c r="D22" s="55" t="s">
        <v>18</v>
      </c>
      <c r="E22" s="55"/>
    </row>
    <row r="23" spans="1:5" ht="15.75" thickBot="1" x14ac:dyDescent="0.3">
      <c r="D23" s="66" t="s">
        <v>54</v>
      </c>
      <c r="E23" s="67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8" t="s">
        <v>55</v>
      </c>
      <c r="E26" s="69"/>
    </row>
    <row r="27" spans="1:5" x14ac:dyDescent="0.25">
      <c r="A27" s="11" t="b">
        <v>1</v>
      </c>
      <c r="B27" s="12" t="b">
        <v>1</v>
      </c>
      <c r="C27" s="13" t="s">
        <v>503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503</v>
      </c>
      <c r="D28" s="54" t="s">
        <v>9</v>
      </c>
      <c r="E28" s="8" t="s">
        <v>495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503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503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502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502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502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502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502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502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502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502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503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503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502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502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502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502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502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502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503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503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502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502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502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502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503</v>
      </c>
      <c r="D67" s="43" t="s">
        <v>61</v>
      </c>
      <c r="E67" s="9" t="s">
        <v>519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503</v>
      </c>
      <c r="D71" s="43" t="s">
        <v>65</v>
      </c>
      <c r="E71" s="8" t="s">
        <v>520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502</v>
      </c>
      <c r="D75" s="43" t="s">
        <v>69</v>
      </c>
      <c r="E75" s="8" t="s">
        <v>582</v>
      </c>
    </row>
    <row r="76" spans="1:5" x14ac:dyDescent="0.25">
      <c r="A76" s="14" t="b">
        <v>0</v>
      </c>
      <c r="B76" s="39" t="b">
        <v>0</v>
      </c>
      <c r="C76" s="60" t="s">
        <v>502</v>
      </c>
      <c r="D76" s="43" t="s">
        <v>70</v>
      </c>
      <c r="E76" s="8" t="s">
        <v>582</v>
      </c>
    </row>
    <row r="77" spans="1:5" x14ac:dyDescent="0.25">
      <c r="A77" s="14" t="b">
        <v>0</v>
      </c>
      <c r="B77" s="39" t="b">
        <v>0</v>
      </c>
      <c r="C77" s="60" t="s">
        <v>502</v>
      </c>
      <c r="D77" s="43" t="s">
        <v>71</v>
      </c>
      <c r="E77" s="8" t="s">
        <v>582</v>
      </c>
    </row>
    <row r="78" spans="1:5" x14ac:dyDescent="0.25">
      <c r="A78" s="14" t="b">
        <v>0</v>
      </c>
      <c r="B78" s="39" t="b">
        <v>0</v>
      </c>
      <c r="C78" s="60" t="s">
        <v>502</v>
      </c>
      <c r="D78" s="43" t="s">
        <v>72</v>
      </c>
      <c r="E78" s="8" t="s">
        <v>582</v>
      </c>
    </row>
    <row r="79" spans="1:5" x14ac:dyDescent="0.25">
      <c r="A79" s="14" t="b">
        <v>1</v>
      </c>
      <c r="B79" s="39" t="b">
        <v>1</v>
      </c>
      <c r="C79" s="60" t="s">
        <v>503</v>
      </c>
      <c r="D79" s="43" t="s">
        <v>73</v>
      </c>
      <c r="E79" s="8" t="s">
        <v>518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502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502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502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502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503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503</v>
      </c>
      <c r="D90" s="42" t="s">
        <v>83</v>
      </c>
      <c r="E90" s="8" t="s">
        <v>525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503</v>
      </c>
      <c r="D96" s="43" t="s">
        <v>88</v>
      </c>
      <c r="E96" s="8" t="s">
        <v>520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503</v>
      </c>
      <c r="D100" s="43" t="s">
        <v>92</v>
      </c>
      <c r="E100" s="8" t="s">
        <v>525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502</v>
      </c>
      <c r="D104" s="43" t="s">
        <v>96</v>
      </c>
      <c r="E104" s="8" t="s">
        <v>523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502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502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502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502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502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502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503</v>
      </c>
      <c r="D112" s="43" t="s">
        <v>104</v>
      </c>
      <c r="E112" s="9" t="s">
        <v>519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502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502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502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502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502</v>
      </c>
      <c r="D120" s="43" t="s">
        <v>112</v>
      </c>
      <c r="E120" s="8" t="s">
        <v>582</v>
      </c>
    </row>
    <row r="121" spans="1:5" ht="15.75" thickBot="1" x14ac:dyDescent="0.3">
      <c r="A121" s="16" t="b">
        <v>0</v>
      </c>
      <c r="B121" s="17" t="b">
        <v>0</v>
      </c>
      <c r="C121" s="18" t="s">
        <v>502</v>
      </c>
      <c r="D121" s="44" t="s">
        <v>113</v>
      </c>
      <c r="E121" s="8" t="s">
        <v>582</v>
      </c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493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493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493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493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493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493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493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493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493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493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493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502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502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513</v>
      </c>
      <c r="D138" s="59" t="s">
        <v>514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502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502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502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502</v>
      </c>
      <c r="D143" s="47" t="s">
        <v>133</v>
      </c>
      <c r="E143" s="8" t="s">
        <v>475</v>
      </c>
    </row>
    <row r="144" spans="1:5" x14ac:dyDescent="0.25">
      <c r="A144" s="14" t="b">
        <v>1</v>
      </c>
      <c r="B144" s="39" t="b">
        <v>1</v>
      </c>
      <c r="C144" s="15" t="s">
        <v>503</v>
      </c>
      <c r="D144" s="47" t="s">
        <v>134</v>
      </c>
      <c r="E144" s="8" t="s">
        <v>519</v>
      </c>
    </row>
    <row r="145" spans="1:5" x14ac:dyDescent="0.25">
      <c r="A145" s="14" t="b">
        <v>1</v>
      </c>
      <c r="B145" s="39" t="b">
        <v>1</v>
      </c>
      <c r="C145" s="15" t="s">
        <v>493</v>
      </c>
      <c r="D145" s="47" t="s">
        <v>135</v>
      </c>
      <c r="E145" s="8"/>
    </row>
    <row r="146" spans="1:5" x14ac:dyDescent="0.25">
      <c r="A146" s="14" t="b">
        <v>1</v>
      </c>
      <c r="B146" s="39" t="b">
        <v>1</v>
      </c>
      <c r="C146" s="15" t="s">
        <v>493</v>
      </c>
      <c r="D146" s="47" t="s">
        <v>136</v>
      </c>
      <c r="E146" s="8"/>
    </row>
    <row r="147" spans="1:5" x14ac:dyDescent="0.25">
      <c r="A147" s="14" t="b">
        <v>1</v>
      </c>
      <c r="B147" s="39" t="b">
        <v>1</v>
      </c>
      <c r="C147" s="15" t="s">
        <v>493</v>
      </c>
      <c r="D147" s="47" t="s">
        <v>137</v>
      </c>
      <c r="E147" s="8"/>
    </row>
    <row r="148" spans="1:5" x14ac:dyDescent="0.25">
      <c r="A148" s="14" t="b">
        <v>1</v>
      </c>
      <c r="B148" s="39" t="b">
        <v>1</v>
      </c>
      <c r="C148" s="15" t="s">
        <v>503</v>
      </c>
      <c r="D148" s="47" t="s">
        <v>138</v>
      </c>
      <c r="E148" s="8" t="s">
        <v>586</v>
      </c>
    </row>
    <row r="149" spans="1:5" x14ac:dyDescent="0.25">
      <c r="A149" s="14" t="b">
        <v>1</v>
      </c>
      <c r="B149" s="39" t="b">
        <v>1</v>
      </c>
      <c r="C149" s="15" t="s">
        <v>503</v>
      </c>
      <c r="D149" s="47" t="s">
        <v>139</v>
      </c>
      <c r="E149" s="8" t="s">
        <v>586</v>
      </c>
    </row>
    <row r="150" spans="1:5" x14ac:dyDescent="0.25">
      <c r="A150" s="14" t="b">
        <v>1</v>
      </c>
      <c r="B150" s="39" t="b">
        <v>1</v>
      </c>
      <c r="C150" s="15" t="s">
        <v>493</v>
      </c>
      <c r="D150" s="47" t="s">
        <v>140</v>
      </c>
      <c r="E150" s="8"/>
    </row>
    <row r="151" spans="1:5" x14ac:dyDescent="0.25">
      <c r="A151" s="14" t="b">
        <v>1</v>
      </c>
      <c r="B151" s="39" t="b">
        <v>1</v>
      </c>
      <c r="C151" s="15" t="s">
        <v>493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502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502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502</v>
      </c>
      <c r="D154" s="47" t="s">
        <v>144</v>
      </c>
      <c r="E154" s="8" t="s">
        <v>582</v>
      </c>
    </row>
    <row r="155" spans="1:5" x14ac:dyDescent="0.25">
      <c r="A155" s="14" t="b">
        <v>0</v>
      </c>
      <c r="B155" s="39" t="b">
        <v>0</v>
      </c>
      <c r="C155" s="15" t="s">
        <v>502</v>
      </c>
      <c r="D155" s="47" t="s">
        <v>145</v>
      </c>
      <c r="E155" s="8" t="s">
        <v>582</v>
      </c>
    </row>
    <row r="156" spans="1:5" x14ac:dyDescent="0.25">
      <c r="A156" s="14" t="b">
        <v>0</v>
      </c>
      <c r="B156" s="39" t="b">
        <v>0</v>
      </c>
      <c r="C156" s="15" t="s">
        <v>502</v>
      </c>
      <c r="D156" s="47" t="s">
        <v>146</v>
      </c>
      <c r="E156" s="8" t="s">
        <v>582</v>
      </c>
    </row>
    <row r="157" spans="1:5" x14ac:dyDescent="0.25">
      <c r="A157" s="14" t="b">
        <v>0</v>
      </c>
      <c r="B157" s="39" t="b">
        <v>0</v>
      </c>
      <c r="C157" s="15" t="s">
        <v>502</v>
      </c>
      <c r="D157" s="47" t="s">
        <v>147</v>
      </c>
      <c r="E157" s="8" t="s">
        <v>582</v>
      </c>
    </row>
    <row r="158" spans="1:5" x14ac:dyDescent="0.25">
      <c r="A158" s="14" t="b">
        <v>1</v>
      </c>
      <c r="B158" s="39" t="b">
        <v>1</v>
      </c>
      <c r="C158" s="15" t="s">
        <v>493</v>
      </c>
      <c r="D158" s="47" t="s">
        <v>148</v>
      </c>
      <c r="E158" s="8"/>
    </row>
    <row r="159" spans="1:5" x14ac:dyDescent="0.25">
      <c r="A159" s="14" t="b">
        <v>1</v>
      </c>
      <c r="B159" s="39" t="b">
        <v>1</v>
      </c>
      <c r="C159" s="15" t="s">
        <v>493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502</v>
      </c>
      <c r="D160" s="47" t="s">
        <v>150</v>
      </c>
      <c r="E160" s="8" t="s">
        <v>582</v>
      </c>
    </row>
    <row r="161" spans="1:5" x14ac:dyDescent="0.25">
      <c r="A161" s="14" t="b">
        <v>0</v>
      </c>
      <c r="B161" s="39" t="b">
        <v>0</v>
      </c>
      <c r="C161" s="15" t="s">
        <v>502</v>
      </c>
      <c r="D161" s="47" t="s">
        <v>151</v>
      </c>
      <c r="E161" s="8" t="s">
        <v>582</v>
      </c>
    </row>
    <row r="162" spans="1:5" x14ac:dyDescent="0.25">
      <c r="A162" s="14" t="b">
        <v>0</v>
      </c>
      <c r="B162" s="39" t="b">
        <v>0</v>
      </c>
      <c r="C162" s="15" t="s">
        <v>502</v>
      </c>
      <c r="D162" s="47" t="s">
        <v>152</v>
      </c>
      <c r="E162" s="8" t="s">
        <v>582</v>
      </c>
    </row>
    <row r="163" spans="1:5" x14ac:dyDescent="0.25">
      <c r="A163" s="14" t="b">
        <v>0</v>
      </c>
      <c r="B163" s="39" t="b">
        <v>0</v>
      </c>
      <c r="C163" s="15" t="s">
        <v>502</v>
      </c>
      <c r="D163" s="47" t="s">
        <v>153</v>
      </c>
      <c r="E163" s="8" t="s">
        <v>582</v>
      </c>
    </row>
    <row r="164" spans="1:5" x14ac:dyDescent="0.25">
      <c r="A164" s="14" t="b">
        <v>0</v>
      </c>
      <c r="B164" s="39" t="b">
        <v>0</v>
      </c>
      <c r="C164" s="15" t="s">
        <v>502</v>
      </c>
      <c r="D164" s="47" t="s">
        <v>154</v>
      </c>
      <c r="E164" s="8" t="s">
        <v>582</v>
      </c>
    </row>
    <row r="165" spans="1:5" x14ac:dyDescent="0.25">
      <c r="A165" s="14" t="b">
        <v>0</v>
      </c>
      <c r="B165" s="39" t="b">
        <v>0</v>
      </c>
      <c r="C165" s="15" t="s">
        <v>502</v>
      </c>
      <c r="D165" s="47" t="s">
        <v>155</v>
      </c>
      <c r="E165" s="8" t="s">
        <v>582</v>
      </c>
    </row>
    <row r="166" spans="1:5" x14ac:dyDescent="0.25">
      <c r="A166" s="14" t="b">
        <v>0</v>
      </c>
      <c r="B166" s="39" t="b">
        <v>0</v>
      </c>
      <c r="C166" s="15" t="s">
        <v>502</v>
      </c>
      <c r="D166" s="47" t="s">
        <v>156</v>
      </c>
      <c r="E166" s="8" t="s">
        <v>582</v>
      </c>
    </row>
    <row r="167" spans="1:5" x14ac:dyDescent="0.25">
      <c r="A167" s="14" t="b">
        <v>0</v>
      </c>
      <c r="B167" s="39" t="b">
        <v>0</v>
      </c>
      <c r="C167" s="15" t="s">
        <v>502</v>
      </c>
      <c r="D167" s="47" t="s">
        <v>157</v>
      </c>
      <c r="E167" s="8" t="s">
        <v>582</v>
      </c>
    </row>
    <row r="168" spans="1:5" x14ac:dyDescent="0.25">
      <c r="A168" s="14" t="b">
        <v>0</v>
      </c>
      <c r="B168" s="39" t="b">
        <v>0</v>
      </c>
      <c r="C168" s="15" t="s">
        <v>502</v>
      </c>
      <c r="D168" s="47" t="s">
        <v>158</v>
      </c>
      <c r="E168" s="8" t="s">
        <v>582</v>
      </c>
    </row>
    <row r="169" spans="1:5" x14ac:dyDescent="0.25">
      <c r="A169" s="14" t="b">
        <v>0</v>
      </c>
      <c r="B169" s="39" t="b">
        <v>0</v>
      </c>
      <c r="C169" s="15" t="s">
        <v>502</v>
      </c>
      <c r="D169" s="47" t="s">
        <v>159</v>
      </c>
      <c r="E169" s="8" t="s">
        <v>582</v>
      </c>
    </row>
    <row r="170" spans="1:5" x14ac:dyDescent="0.25">
      <c r="A170" s="14" t="b">
        <v>0</v>
      </c>
      <c r="B170" s="39" t="b">
        <v>0</v>
      </c>
      <c r="C170" s="15" t="s">
        <v>502</v>
      </c>
      <c r="D170" s="47" t="s">
        <v>160</v>
      </c>
      <c r="E170" s="8" t="s">
        <v>582</v>
      </c>
    </row>
    <row r="171" spans="1:5" x14ac:dyDescent="0.25">
      <c r="A171" s="14" t="b">
        <v>0</v>
      </c>
      <c r="B171" s="39" t="b">
        <v>0</v>
      </c>
      <c r="C171" s="15" t="s">
        <v>502</v>
      </c>
      <c r="D171" s="47" t="s">
        <v>161</v>
      </c>
      <c r="E171" s="8" t="s">
        <v>582</v>
      </c>
    </row>
    <row r="172" spans="1:5" ht="30" x14ac:dyDescent="0.25">
      <c r="A172" s="14" t="b">
        <v>1</v>
      </c>
      <c r="B172" s="39" t="b">
        <v>1</v>
      </c>
      <c r="C172" s="15" t="s">
        <v>493</v>
      </c>
      <c r="D172" s="47" t="s">
        <v>162</v>
      </c>
      <c r="E172" s="9" t="s">
        <v>585</v>
      </c>
    </row>
    <row r="173" spans="1:5" ht="30" x14ac:dyDescent="0.25">
      <c r="A173" s="14" t="b">
        <v>1</v>
      </c>
      <c r="B173" s="39" t="b">
        <v>1</v>
      </c>
      <c r="C173" s="15" t="s">
        <v>493</v>
      </c>
      <c r="D173" s="47" t="s">
        <v>163</v>
      </c>
      <c r="E173" s="9" t="s">
        <v>585</v>
      </c>
    </row>
    <row r="174" spans="1:5" x14ac:dyDescent="0.25">
      <c r="A174" s="14" t="b">
        <v>1</v>
      </c>
      <c r="B174" s="39" t="b">
        <v>1</v>
      </c>
      <c r="C174" s="15" t="s">
        <v>493</v>
      </c>
      <c r="D174" s="47" t="s">
        <v>164</v>
      </c>
      <c r="E174" s="8"/>
    </row>
    <row r="175" spans="1:5" x14ac:dyDescent="0.25">
      <c r="A175" s="14" t="b">
        <v>1</v>
      </c>
      <c r="B175" s="39" t="b">
        <v>1</v>
      </c>
      <c r="C175" s="15" t="s">
        <v>493</v>
      </c>
      <c r="D175" s="47" t="s">
        <v>165</v>
      </c>
      <c r="E175" s="8"/>
    </row>
    <row r="176" spans="1:5" x14ac:dyDescent="0.25">
      <c r="A176" s="14" t="b">
        <v>1</v>
      </c>
      <c r="B176" s="39" t="b">
        <v>1</v>
      </c>
      <c r="C176" s="15" t="s">
        <v>493</v>
      </c>
      <c r="D176" s="47" t="s">
        <v>166</v>
      </c>
      <c r="E176" s="8"/>
    </row>
    <row r="177" spans="1:5" ht="15.75" thickBot="1" x14ac:dyDescent="0.3">
      <c r="A177" s="16" t="b">
        <v>1</v>
      </c>
      <c r="B177" s="17" t="b">
        <v>1</v>
      </c>
      <c r="C177" s="18" t="s">
        <v>493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513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502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502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513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513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513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513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513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513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513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513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513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513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513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513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513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502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502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502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502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493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493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502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502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502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502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502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502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502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502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502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502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502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502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502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502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502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502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502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502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502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502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493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502</v>
      </c>
      <c r="D229" s="43" t="s">
        <v>199</v>
      </c>
      <c r="E229" s="8" t="s">
        <v>512</v>
      </c>
    </row>
    <row r="230" spans="1:5" x14ac:dyDescent="0.25">
      <c r="A230" s="14" t="b">
        <v>0</v>
      </c>
      <c r="B230" s="39" t="b">
        <v>0</v>
      </c>
      <c r="C230" s="15" t="s">
        <v>502</v>
      </c>
      <c r="D230" s="43" t="s">
        <v>200</v>
      </c>
      <c r="E230" s="8" t="s">
        <v>512</v>
      </c>
    </row>
    <row r="231" spans="1:5" x14ac:dyDescent="0.25">
      <c r="A231" s="14" t="b">
        <v>0</v>
      </c>
      <c r="B231" s="39" t="b">
        <v>0</v>
      </c>
      <c r="C231" s="15" t="s">
        <v>502</v>
      </c>
      <c r="D231" s="43" t="s">
        <v>201</v>
      </c>
      <c r="E231" s="8" t="s">
        <v>512</v>
      </c>
    </row>
    <row r="232" spans="1:5" x14ac:dyDescent="0.25">
      <c r="A232" s="14" t="b">
        <v>0</v>
      </c>
      <c r="B232" s="39" t="b">
        <v>0</v>
      </c>
      <c r="C232" s="15" t="s">
        <v>502</v>
      </c>
      <c r="D232" s="43" t="s">
        <v>202</v>
      </c>
      <c r="E232" s="8" t="s">
        <v>512</v>
      </c>
    </row>
    <row r="233" spans="1:5" x14ac:dyDescent="0.25">
      <c r="A233" s="14" t="b">
        <v>0</v>
      </c>
      <c r="B233" s="39" t="b">
        <v>0</v>
      </c>
      <c r="C233" s="15" t="s">
        <v>502</v>
      </c>
      <c r="D233" s="43" t="s">
        <v>203</v>
      </c>
      <c r="E233" s="8" t="s">
        <v>512</v>
      </c>
    </row>
    <row r="234" spans="1:5" ht="15.75" thickBot="1" x14ac:dyDescent="0.3">
      <c r="A234" s="16" t="b">
        <v>0</v>
      </c>
      <c r="B234" s="17" t="b">
        <v>0</v>
      </c>
      <c r="C234" s="18" t="s">
        <v>502</v>
      </c>
      <c r="D234" s="44" t="s">
        <v>204</v>
      </c>
      <c r="E234" s="7" t="s">
        <v>512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503</v>
      </c>
      <c r="D236" s="46" t="s">
        <v>206</v>
      </c>
      <c r="E236" s="26" t="s">
        <v>508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502</v>
      </c>
      <c r="D238" s="47" t="s">
        <v>208</v>
      </c>
      <c r="E238" s="27" t="s">
        <v>574</v>
      </c>
    </row>
    <row r="239" spans="1:5" x14ac:dyDescent="0.25">
      <c r="A239" s="14" t="b">
        <v>0</v>
      </c>
      <c r="B239" s="39" t="b">
        <v>0</v>
      </c>
      <c r="C239" s="15" t="s">
        <v>502</v>
      </c>
      <c r="D239" s="47" t="s">
        <v>209</v>
      </c>
      <c r="E239" s="27" t="s">
        <v>574</v>
      </c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502</v>
      </c>
      <c r="D243" s="47" t="s">
        <v>199</v>
      </c>
      <c r="E243" s="27" t="s">
        <v>512</v>
      </c>
    </row>
    <row r="244" spans="1:5" x14ac:dyDescent="0.25">
      <c r="A244" s="14" t="b">
        <v>0</v>
      </c>
      <c r="B244" s="39" t="b">
        <v>0</v>
      </c>
      <c r="C244" s="15" t="s">
        <v>502</v>
      </c>
      <c r="D244" s="47" t="s">
        <v>200</v>
      </c>
      <c r="E244" s="27" t="s">
        <v>512</v>
      </c>
    </row>
    <row r="245" spans="1:5" x14ac:dyDescent="0.25">
      <c r="A245" s="14" t="b">
        <v>0</v>
      </c>
      <c r="B245" s="39" t="b">
        <v>0</v>
      </c>
      <c r="C245" s="15" t="s">
        <v>502</v>
      </c>
      <c r="D245" s="47" t="s">
        <v>211</v>
      </c>
      <c r="E245" s="27" t="s">
        <v>515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502</v>
      </c>
      <c r="D252" s="47" t="s">
        <v>218</v>
      </c>
      <c r="E252" s="27" t="s">
        <v>512</v>
      </c>
    </row>
    <row r="253" spans="1:5" x14ac:dyDescent="0.25">
      <c r="A253" s="14" t="b">
        <v>0</v>
      </c>
      <c r="B253" s="39" t="b">
        <v>0</v>
      </c>
      <c r="C253" s="15" t="s">
        <v>502</v>
      </c>
      <c r="D253" s="47" t="s">
        <v>219</v>
      </c>
      <c r="E253" s="27" t="s">
        <v>512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503</v>
      </c>
      <c r="D256" s="47" t="s">
        <v>222</v>
      </c>
      <c r="E256" s="27" t="s">
        <v>507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493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502</v>
      </c>
      <c r="D261" s="46" t="s">
        <v>227</v>
      </c>
      <c r="E261" s="26" t="s">
        <v>522</v>
      </c>
    </row>
    <row r="262" spans="1:5" x14ac:dyDescent="0.25">
      <c r="A262" s="14" t="b">
        <v>0</v>
      </c>
      <c r="B262" s="39" t="b">
        <v>0</v>
      </c>
      <c r="C262" s="15" t="s">
        <v>502</v>
      </c>
      <c r="D262" s="47" t="s">
        <v>228</v>
      </c>
      <c r="E262" s="27" t="s">
        <v>522</v>
      </c>
    </row>
    <row r="263" spans="1:5" x14ac:dyDescent="0.25">
      <c r="A263" s="14" t="b">
        <v>0</v>
      </c>
      <c r="B263" s="39" t="b">
        <v>0</v>
      </c>
      <c r="C263" s="15" t="s">
        <v>502</v>
      </c>
      <c r="D263" s="47" t="s">
        <v>229</v>
      </c>
      <c r="E263" s="27" t="s">
        <v>522</v>
      </c>
    </row>
    <row r="264" spans="1:5" x14ac:dyDescent="0.25">
      <c r="A264" s="14" t="b">
        <v>0</v>
      </c>
      <c r="B264" s="39" t="b">
        <v>0</v>
      </c>
      <c r="C264" s="15" t="s">
        <v>502</v>
      </c>
      <c r="D264" s="47" t="s">
        <v>230</v>
      </c>
      <c r="E264" s="27" t="s">
        <v>522</v>
      </c>
    </row>
    <row r="265" spans="1:5" x14ac:dyDescent="0.25">
      <c r="A265" s="14" t="b">
        <v>0</v>
      </c>
      <c r="B265" s="39" t="b">
        <v>0</v>
      </c>
      <c r="C265" s="15" t="s">
        <v>502</v>
      </c>
      <c r="D265" s="47" t="s">
        <v>231</v>
      </c>
      <c r="E265" s="27" t="s">
        <v>522</v>
      </c>
    </row>
    <row r="266" spans="1:5" x14ac:dyDescent="0.25">
      <c r="A266" s="14" t="b">
        <v>0</v>
      </c>
      <c r="B266" s="39" t="b">
        <v>0</v>
      </c>
      <c r="C266" s="15" t="s">
        <v>502</v>
      </c>
      <c r="D266" s="47" t="s">
        <v>232</v>
      </c>
      <c r="E266" s="27" t="s">
        <v>522</v>
      </c>
    </row>
    <row r="267" spans="1:5" x14ac:dyDescent="0.25">
      <c r="A267" s="14" t="b">
        <v>0</v>
      </c>
      <c r="B267" s="39" t="b">
        <v>0</v>
      </c>
      <c r="C267" s="15" t="s">
        <v>502</v>
      </c>
      <c r="D267" s="47" t="s">
        <v>233</v>
      </c>
      <c r="E267" s="27" t="s">
        <v>522</v>
      </c>
    </row>
    <row r="268" spans="1:5" x14ac:dyDescent="0.25">
      <c r="A268" s="14" t="b">
        <v>0</v>
      </c>
      <c r="B268" s="39" t="b">
        <v>0</v>
      </c>
      <c r="C268" s="15" t="s">
        <v>502</v>
      </c>
      <c r="D268" s="47" t="s">
        <v>234</v>
      </c>
      <c r="E268" s="27" t="s">
        <v>522</v>
      </c>
    </row>
    <row r="269" spans="1:5" x14ac:dyDescent="0.25">
      <c r="A269" s="14" t="b">
        <v>0</v>
      </c>
      <c r="B269" s="39" t="b">
        <v>0</v>
      </c>
      <c r="C269" s="15" t="s">
        <v>502</v>
      </c>
      <c r="D269" s="47" t="s">
        <v>235</v>
      </c>
      <c r="E269" s="27" t="s">
        <v>522</v>
      </c>
    </row>
    <row r="270" spans="1:5" x14ac:dyDescent="0.25">
      <c r="A270" s="14" t="b">
        <v>0</v>
      </c>
      <c r="B270" s="39" t="b">
        <v>0</v>
      </c>
      <c r="C270" s="15" t="s">
        <v>502</v>
      </c>
      <c r="D270" s="47" t="s">
        <v>236</v>
      </c>
      <c r="E270" s="27" t="s">
        <v>522</v>
      </c>
    </row>
    <row r="271" spans="1:5" x14ac:dyDescent="0.25">
      <c r="A271" s="14" t="b">
        <v>0</v>
      </c>
      <c r="B271" s="39" t="b">
        <v>0</v>
      </c>
      <c r="C271" s="15" t="s">
        <v>502</v>
      </c>
      <c r="D271" s="47" t="s">
        <v>237</v>
      </c>
      <c r="E271" s="27" t="s">
        <v>522</v>
      </c>
    </row>
    <row r="272" spans="1:5" ht="15.75" thickBot="1" x14ac:dyDescent="0.3">
      <c r="A272" s="16" t="b">
        <v>0</v>
      </c>
      <c r="B272" s="17" t="b">
        <v>0</v>
      </c>
      <c r="C272" s="18" t="s">
        <v>502</v>
      </c>
      <c r="D272" s="48" t="s">
        <v>238</v>
      </c>
      <c r="E272" s="28" t="s">
        <v>522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493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503</v>
      </c>
      <c r="D275" s="47" t="s">
        <v>241</v>
      </c>
      <c r="E275" s="27" t="s">
        <v>576</v>
      </c>
    </row>
    <row r="276" spans="1:5" x14ac:dyDescent="0.25">
      <c r="A276" s="14" t="b">
        <v>1</v>
      </c>
      <c r="B276" s="39" t="b">
        <v>1</v>
      </c>
      <c r="C276" s="15" t="s">
        <v>503</v>
      </c>
      <c r="D276" s="47" t="s">
        <v>242</v>
      </c>
      <c r="E276" s="27" t="s">
        <v>576</v>
      </c>
    </row>
    <row r="277" spans="1:5" x14ac:dyDescent="0.25">
      <c r="A277" s="14" t="b">
        <v>1</v>
      </c>
      <c r="B277" s="39" t="b">
        <v>1</v>
      </c>
      <c r="C277" s="15" t="s">
        <v>493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493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493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493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493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493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493</v>
      </c>
      <c r="D284" s="47" t="s">
        <v>250</v>
      </c>
      <c r="E284" s="27" t="s">
        <v>578</v>
      </c>
    </row>
    <row r="285" spans="1:5" x14ac:dyDescent="0.25">
      <c r="A285" s="14" t="b">
        <v>1</v>
      </c>
      <c r="B285" s="39" t="b">
        <v>1</v>
      </c>
      <c r="C285" s="15" t="s">
        <v>493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502</v>
      </c>
      <c r="D286" s="47" t="s">
        <v>252</v>
      </c>
      <c r="E286" s="8" t="s">
        <v>582</v>
      </c>
    </row>
    <row r="287" spans="1:5" x14ac:dyDescent="0.25">
      <c r="A287" s="14" t="b">
        <v>0</v>
      </c>
      <c r="B287" s="39" t="b">
        <v>0</v>
      </c>
      <c r="C287" s="15" t="s">
        <v>502</v>
      </c>
      <c r="D287" s="47" t="s">
        <v>253</v>
      </c>
      <c r="E287" s="8" t="s">
        <v>582</v>
      </c>
    </row>
    <row r="288" spans="1:5" x14ac:dyDescent="0.25">
      <c r="A288" s="14" t="b">
        <v>0</v>
      </c>
      <c r="B288" s="39" t="b">
        <v>0</v>
      </c>
      <c r="C288" s="15" t="s">
        <v>502</v>
      </c>
      <c r="D288" s="47" t="s">
        <v>254</v>
      </c>
      <c r="E288" s="8" t="s">
        <v>582</v>
      </c>
    </row>
    <row r="289" spans="1:5" x14ac:dyDescent="0.25">
      <c r="A289" s="14" t="b">
        <v>0</v>
      </c>
      <c r="B289" s="39" t="b">
        <v>0</v>
      </c>
      <c r="C289" s="15" t="s">
        <v>502</v>
      </c>
      <c r="D289" s="47" t="s">
        <v>255</v>
      </c>
      <c r="E289" s="8" t="s">
        <v>582</v>
      </c>
    </row>
    <row r="290" spans="1:5" x14ac:dyDescent="0.25">
      <c r="A290" s="14" t="b">
        <v>0</v>
      </c>
      <c r="B290" s="39" t="b">
        <v>0</v>
      </c>
      <c r="C290" s="15" t="s">
        <v>502</v>
      </c>
      <c r="D290" s="47" t="s">
        <v>256</v>
      </c>
      <c r="E290" s="27" t="s">
        <v>579</v>
      </c>
    </row>
    <row r="291" spans="1:5" x14ac:dyDescent="0.25">
      <c r="A291" s="14" t="b">
        <v>0</v>
      </c>
      <c r="B291" s="39" t="b">
        <v>0</v>
      </c>
      <c r="C291" s="15" t="s">
        <v>502</v>
      </c>
      <c r="D291" s="47" t="s">
        <v>257</v>
      </c>
      <c r="E291" s="27" t="s">
        <v>579</v>
      </c>
    </row>
    <row r="292" spans="1:5" x14ac:dyDescent="0.25">
      <c r="A292" s="14" t="b">
        <v>0</v>
      </c>
      <c r="B292" s="39" t="b">
        <v>0</v>
      </c>
      <c r="C292" s="15" t="s">
        <v>502</v>
      </c>
      <c r="D292" s="47" t="s">
        <v>258</v>
      </c>
      <c r="E292" s="8" t="s">
        <v>582</v>
      </c>
    </row>
    <row r="293" spans="1:5" x14ac:dyDescent="0.25">
      <c r="A293" s="14" t="b">
        <v>0</v>
      </c>
      <c r="B293" s="39" t="b">
        <v>0</v>
      </c>
      <c r="C293" s="15" t="s">
        <v>502</v>
      </c>
      <c r="D293" s="47" t="s">
        <v>259</v>
      </c>
      <c r="E293" s="8" t="s">
        <v>582</v>
      </c>
    </row>
    <row r="294" spans="1:5" x14ac:dyDescent="0.25">
      <c r="A294" s="14" t="b">
        <v>1</v>
      </c>
      <c r="B294" s="39" t="b">
        <v>1</v>
      </c>
      <c r="C294" s="15" t="s">
        <v>493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493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502</v>
      </c>
      <c r="D296" s="47" t="s">
        <v>262</v>
      </c>
      <c r="E296" s="8" t="s">
        <v>582</v>
      </c>
    </row>
    <row r="297" spans="1:5" x14ac:dyDescent="0.25">
      <c r="A297" s="14" t="b">
        <v>0</v>
      </c>
      <c r="B297" s="39" t="b">
        <v>0</v>
      </c>
      <c r="C297" s="15" t="s">
        <v>502</v>
      </c>
      <c r="D297" s="47" t="s">
        <v>263</v>
      </c>
      <c r="E297" s="8" t="s">
        <v>582</v>
      </c>
    </row>
    <row r="298" spans="1:5" x14ac:dyDescent="0.25">
      <c r="A298" s="14" t="b">
        <v>0</v>
      </c>
      <c r="B298" s="39" t="b">
        <v>0</v>
      </c>
      <c r="C298" s="15" t="s">
        <v>502</v>
      </c>
      <c r="D298" s="47" t="s">
        <v>264</v>
      </c>
      <c r="E298" s="8" t="s">
        <v>582</v>
      </c>
    </row>
    <row r="299" spans="1:5" ht="15.75" thickBot="1" x14ac:dyDescent="0.3">
      <c r="A299" s="16" t="b">
        <v>0</v>
      </c>
      <c r="B299" s="17" t="b">
        <v>0</v>
      </c>
      <c r="C299" s="18" t="s">
        <v>502</v>
      </c>
      <c r="D299" s="48" t="s">
        <v>265</v>
      </c>
      <c r="E299" s="8" t="s">
        <v>582</v>
      </c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493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493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493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493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493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493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493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493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493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493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502</v>
      </c>
      <c r="D312" s="46" t="s">
        <v>278</v>
      </c>
      <c r="E312" s="6" t="s">
        <v>582</v>
      </c>
    </row>
    <row r="313" spans="1:5" x14ac:dyDescent="0.25">
      <c r="A313" s="14" t="b">
        <v>0</v>
      </c>
      <c r="B313" s="39" t="b">
        <v>0</v>
      </c>
      <c r="C313" s="15" t="s">
        <v>502</v>
      </c>
      <c r="D313" s="47" t="s">
        <v>279</v>
      </c>
      <c r="E313" s="8" t="s">
        <v>582</v>
      </c>
    </row>
    <row r="314" spans="1:5" x14ac:dyDescent="0.25">
      <c r="A314" s="14" t="b">
        <v>0</v>
      </c>
      <c r="B314" s="39" t="b">
        <v>0</v>
      </c>
      <c r="C314" s="15" t="s">
        <v>502</v>
      </c>
      <c r="D314" s="47" t="s">
        <v>280</v>
      </c>
      <c r="E314" s="8" t="s">
        <v>582</v>
      </c>
    </row>
    <row r="315" spans="1:5" ht="15.75" thickBot="1" x14ac:dyDescent="0.3">
      <c r="A315" s="16" t="b">
        <v>0</v>
      </c>
      <c r="B315" s="17" t="b">
        <v>0</v>
      </c>
      <c r="C315" s="18" t="s">
        <v>502</v>
      </c>
      <c r="D315" s="48" t="s">
        <v>281</v>
      </c>
      <c r="E315" s="7" t="s">
        <v>582</v>
      </c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513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513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505</v>
      </c>
    </row>
    <row r="321" spans="1:5" x14ac:dyDescent="0.25">
      <c r="A321" s="14" t="b">
        <v>1</v>
      </c>
      <c r="B321" s="39" t="b">
        <v>1</v>
      </c>
      <c r="C321" s="15" t="s">
        <v>493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493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503</v>
      </c>
      <c r="D324" s="47" t="s">
        <v>290</v>
      </c>
      <c r="E324" s="36" t="s">
        <v>575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502</v>
      </c>
      <c r="D328" s="46" t="s">
        <v>294</v>
      </c>
      <c r="E328" s="26" t="s">
        <v>584</v>
      </c>
    </row>
    <row r="329" spans="1:5" x14ac:dyDescent="0.25">
      <c r="A329" s="14" t="b">
        <v>0</v>
      </c>
      <c r="B329" s="39" t="b">
        <v>0</v>
      </c>
      <c r="C329" s="15" t="s">
        <v>502</v>
      </c>
      <c r="D329" s="47" t="s">
        <v>295</v>
      </c>
      <c r="E329" s="27" t="s">
        <v>584</v>
      </c>
    </row>
    <row r="330" spans="1:5" x14ac:dyDescent="0.25">
      <c r="A330" s="14" t="b">
        <v>0</v>
      </c>
      <c r="B330" s="39" t="b">
        <v>0</v>
      </c>
      <c r="C330" s="15" t="s">
        <v>502</v>
      </c>
      <c r="D330" s="47" t="s">
        <v>296</v>
      </c>
      <c r="E330" s="27" t="s">
        <v>584</v>
      </c>
    </row>
    <row r="331" spans="1:5" x14ac:dyDescent="0.25">
      <c r="A331" s="14" t="b">
        <v>0</v>
      </c>
      <c r="B331" s="39" t="b">
        <v>0</v>
      </c>
      <c r="C331" s="15" t="s">
        <v>502</v>
      </c>
      <c r="D331" s="47" t="s">
        <v>297</v>
      </c>
      <c r="E331" s="27" t="s">
        <v>584</v>
      </c>
    </row>
    <row r="332" spans="1:5" x14ac:dyDescent="0.25">
      <c r="A332" s="14" t="b">
        <v>0</v>
      </c>
      <c r="B332" s="39" t="b">
        <v>0</v>
      </c>
      <c r="C332" s="15" t="s">
        <v>502</v>
      </c>
      <c r="D332" s="47" t="s">
        <v>298</v>
      </c>
      <c r="E332" s="27" t="s">
        <v>584</v>
      </c>
    </row>
    <row r="333" spans="1:5" x14ac:dyDescent="0.25">
      <c r="A333" s="14" t="b">
        <v>0</v>
      </c>
      <c r="B333" s="39" t="b">
        <v>0</v>
      </c>
      <c r="C333" s="15" t="s">
        <v>502</v>
      </c>
      <c r="D333" s="47" t="s">
        <v>299</v>
      </c>
      <c r="E333" s="27" t="s">
        <v>584</v>
      </c>
    </row>
    <row r="334" spans="1:5" x14ac:dyDescent="0.25">
      <c r="A334" s="14" t="b">
        <v>0</v>
      </c>
      <c r="B334" s="39" t="b">
        <v>0</v>
      </c>
      <c r="C334" s="15" t="s">
        <v>502</v>
      </c>
      <c r="D334" s="47" t="s">
        <v>300</v>
      </c>
      <c r="E334" s="27" t="s">
        <v>584</v>
      </c>
    </row>
    <row r="335" spans="1:5" x14ac:dyDescent="0.25">
      <c r="A335" s="14" t="b">
        <v>0</v>
      </c>
      <c r="B335" s="39" t="b">
        <v>0</v>
      </c>
      <c r="C335" s="15" t="s">
        <v>502</v>
      </c>
      <c r="D335" s="47" t="s">
        <v>301</v>
      </c>
      <c r="E335" s="27" t="s">
        <v>584</v>
      </c>
    </row>
    <row r="336" spans="1:5" x14ac:dyDescent="0.25">
      <c r="A336" s="14" t="b">
        <v>0</v>
      </c>
      <c r="B336" s="39" t="b">
        <v>0</v>
      </c>
      <c r="C336" s="15" t="s">
        <v>502</v>
      </c>
      <c r="D336" s="47" t="s">
        <v>302</v>
      </c>
      <c r="E336" s="27" t="s">
        <v>584</v>
      </c>
    </row>
    <row r="337" spans="1:5" x14ac:dyDescent="0.25">
      <c r="A337" s="14" t="b">
        <v>0</v>
      </c>
      <c r="B337" s="39" t="b">
        <v>0</v>
      </c>
      <c r="C337" s="15" t="s">
        <v>502</v>
      </c>
      <c r="D337" s="47" t="s">
        <v>303</v>
      </c>
      <c r="E337" s="27" t="s">
        <v>584</v>
      </c>
    </row>
    <row r="338" spans="1:5" x14ac:dyDescent="0.25">
      <c r="A338" s="14" t="b">
        <v>0</v>
      </c>
      <c r="B338" s="39" t="b">
        <v>0</v>
      </c>
      <c r="C338" s="15" t="s">
        <v>502</v>
      </c>
      <c r="D338" s="47" t="s">
        <v>304</v>
      </c>
      <c r="E338" s="27" t="s">
        <v>584</v>
      </c>
    </row>
    <row r="339" spans="1:5" x14ac:dyDescent="0.25">
      <c r="A339" s="14" t="b">
        <v>0</v>
      </c>
      <c r="B339" s="39" t="b">
        <v>0</v>
      </c>
      <c r="C339" s="15" t="s">
        <v>502</v>
      </c>
      <c r="D339" s="47" t="s">
        <v>305</v>
      </c>
      <c r="E339" s="27" t="s">
        <v>584</v>
      </c>
    </row>
    <row r="340" spans="1:5" x14ac:dyDescent="0.25">
      <c r="A340" s="14" t="b">
        <v>0</v>
      </c>
      <c r="B340" s="39" t="b">
        <v>0</v>
      </c>
      <c r="C340" s="15" t="s">
        <v>502</v>
      </c>
      <c r="D340" s="47" t="s">
        <v>306</v>
      </c>
      <c r="E340" s="27" t="s">
        <v>584</v>
      </c>
    </row>
    <row r="341" spans="1:5" x14ac:dyDescent="0.25">
      <c r="A341" s="14" t="b">
        <v>0</v>
      </c>
      <c r="B341" s="39" t="b">
        <v>0</v>
      </c>
      <c r="C341" s="15" t="s">
        <v>502</v>
      </c>
      <c r="D341" s="47" t="s">
        <v>307</v>
      </c>
      <c r="E341" s="27" t="s">
        <v>584</v>
      </c>
    </row>
    <row r="342" spans="1:5" x14ac:dyDescent="0.25">
      <c r="A342" s="14" t="b">
        <v>0</v>
      </c>
      <c r="B342" s="39" t="b">
        <v>0</v>
      </c>
      <c r="C342" s="15" t="s">
        <v>502</v>
      </c>
      <c r="D342" s="47" t="s">
        <v>308</v>
      </c>
      <c r="E342" s="27" t="s">
        <v>584</v>
      </c>
    </row>
    <row r="343" spans="1:5" x14ac:dyDescent="0.25">
      <c r="A343" s="14" t="b">
        <v>0</v>
      </c>
      <c r="B343" s="39" t="b">
        <v>0</v>
      </c>
      <c r="C343" s="15" t="s">
        <v>502</v>
      </c>
      <c r="D343" s="47" t="s">
        <v>309</v>
      </c>
      <c r="E343" s="27" t="s">
        <v>584</v>
      </c>
    </row>
    <row r="344" spans="1:5" x14ac:dyDescent="0.25">
      <c r="A344" s="14" t="b">
        <v>0</v>
      </c>
      <c r="B344" s="39" t="b">
        <v>0</v>
      </c>
      <c r="C344" s="15" t="s">
        <v>502</v>
      </c>
      <c r="D344" s="47" t="s">
        <v>310</v>
      </c>
      <c r="E344" s="27" t="s">
        <v>584</v>
      </c>
    </row>
    <row r="345" spans="1:5" ht="15.75" thickBot="1" x14ac:dyDescent="0.3">
      <c r="A345" s="16" t="b">
        <v>0</v>
      </c>
      <c r="B345" s="17" t="b">
        <v>0</v>
      </c>
      <c r="C345" s="18" t="s">
        <v>502</v>
      </c>
      <c r="D345" s="48" t="s">
        <v>311</v>
      </c>
      <c r="E345" s="28" t="s">
        <v>584</v>
      </c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513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513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513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513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513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513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513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513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513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513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513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513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513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513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513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513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513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513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513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513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513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513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513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513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513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513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513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513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513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513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513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502</v>
      </c>
      <c r="D381" s="46" t="s">
        <v>294</v>
      </c>
      <c r="E381" s="26" t="s">
        <v>584</v>
      </c>
    </row>
    <row r="382" spans="1:5" x14ac:dyDescent="0.25">
      <c r="A382" s="14" t="b">
        <v>1</v>
      </c>
      <c r="B382" s="39" t="b">
        <v>1</v>
      </c>
      <c r="C382" s="15" t="s">
        <v>493</v>
      </c>
      <c r="D382" s="47" t="s">
        <v>347</v>
      </c>
      <c r="E382" s="27"/>
    </row>
    <row r="383" spans="1:5" x14ac:dyDescent="0.25">
      <c r="A383" s="14" t="b">
        <v>1</v>
      </c>
      <c r="B383" s="39" t="b">
        <v>1</v>
      </c>
      <c r="C383" s="15" t="s">
        <v>493</v>
      </c>
      <c r="D383" s="47" t="s">
        <v>348</v>
      </c>
      <c r="E383" s="27"/>
    </row>
    <row r="384" spans="1:5" x14ac:dyDescent="0.25">
      <c r="A384" s="14" t="b">
        <v>1</v>
      </c>
      <c r="B384" s="39" t="b">
        <v>1</v>
      </c>
      <c r="C384" s="15" t="s">
        <v>493</v>
      </c>
      <c r="D384" s="47" t="s">
        <v>349</v>
      </c>
      <c r="E384" s="27"/>
    </row>
    <row r="385" spans="1:5" x14ac:dyDescent="0.25">
      <c r="A385" s="14" t="b">
        <v>1</v>
      </c>
      <c r="B385" s="39" t="b">
        <v>1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/>
    </row>
    <row r="387" spans="1:5" x14ac:dyDescent="0.25">
      <c r="A387" s="14" t="b">
        <v>0</v>
      </c>
      <c r="B387" s="39" t="b">
        <v>0</v>
      </c>
      <c r="C387" s="15" t="s">
        <v>513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513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513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513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502</v>
      </c>
      <c r="D391" s="47" t="s">
        <v>355</v>
      </c>
      <c r="E391" s="27" t="s">
        <v>529</v>
      </c>
    </row>
    <row r="392" spans="1:5" x14ac:dyDescent="0.25">
      <c r="A392" s="14" t="b">
        <v>1</v>
      </c>
      <c r="B392" s="39" t="b">
        <v>1</v>
      </c>
      <c r="C392" s="15" t="s">
        <v>503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513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513</v>
      </c>
      <c r="D395" s="47" t="s">
        <v>324</v>
      </c>
      <c r="E395" s="27"/>
    </row>
    <row r="396" spans="1:5" x14ac:dyDescent="0.25">
      <c r="A396" s="14" t="b">
        <v>1</v>
      </c>
      <c r="B396" s="39" t="b">
        <v>1</v>
      </c>
      <c r="C396" s="15" t="s">
        <v>493</v>
      </c>
      <c r="D396" s="47" t="s">
        <v>358</v>
      </c>
      <c r="E396" s="27"/>
    </row>
    <row r="397" spans="1:5" x14ac:dyDescent="0.25">
      <c r="A397" s="14" t="b">
        <v>1</v>
      </c>
      <c r="B397" s="39" t="b">
        <v>1</v>
      </c>
      <c r="C397" s="15" t="s">
        <v>493</v>
      </c>
      <c r="D397" s="47" t="s">
        <v>359</v>
      </c>
      <c r="E397" s="27"/>
    </row>
    <row r="398" spans="1:5" x14ac:dyDescent="0.25">
      <c r="A398" s="14" t="b">
        <v>1</v>
      </c>
      <c r="B398" s="39" t="b">
        <v>1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513</v>
      </c>
      <c r="D399" s="47" t="s">
        <v>211</v>
      </c>
      <c r="E399" s="27" t="s">
        <v>515</v>
      </c>
    </row>
    <row r="400" spans="1:5" x14ac:dyDescent="0.25">
      <c r="A400" s="14" t="b">
        <v>0</v>
      </c>
      <c r="B400" s="39" t="b">
        <v>0</v>
      </c>
      <c r="C400" s="15" t="s">
        <v>502</v>
      </c>
      <c r="D400" s="47" t="s">
        <v>361</v>
      </c>
      <c r="E400" s="27" t="s">
        <v>583</v>
      </c>
    </row>
    <row r="401" spans="1:5" ht="15.75" thickBot="1" x14ac:dyDescent="0.3">
      <c r="A401" s="16" t="b">
        <v>0</v>
      </c>
      <c r="B401" s="17" t="b">
        <v>0</v>
      </c>
      <c r="C401" s="18" t="s">
        <v>513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502</v>
      </c>
      <c r="D403" s="46" t="s">
        <v>364</v>
      </c>
      <c r="E403" s="6" t="s">
        <v>582</v>
      </c>
    </row>
    <row r="404" spans="1:5" x14ac:dyDescent="0.25">
      <c r="A404" s="14" t="b">
        <v>0</v>
      </c>
      <c r="B404" s="39" t="b">
        <v>0</v>
      </c>
      <c r="C404" s="15" t="s">
        <v>502</v>
      </c>
      <c r="D404" s="47" t="s">
        <v>365</v>
      </c>
      <c r="E404" s="8" t="s">
        <v>582</v>
      </c>
    </row>
    <row r="405" spans="1:5" x14ac:dyDescent="0.25">
      <c r="A405" s="14" t="b">
        <v>0</v>
      </c>
      <c r="B405" s="39" t="b">
        <v>0</v>
      </c>
      <c r="C405" s="15" t="s">
        <v>502</v>
      </c>
      <c r="D405" s="47" t="s">
        <v>366</v>
      </c>
      <c r="E405" s="8" t="s">
        <v>582</v>
      </c>
    </row>
    <row r="406" spans="1:5" ht="15.75" thickBot="1" x14ac:dyDescent="0.3">
      <c r="A406" s="16" t="b">
        <v>0</v>
      </c>
      <c r="B406" s="17" t="b">
        <v>0</v>
      </c>
      <c r="C406" s="18" t="s">
        <v>502</v>
      </c>
      <c r="D406" s="48" t="s">
        <v>367</v>
      </c>
      <c r="E406" s="7" t="s">
        <v>582</v>
      </c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502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513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513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513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513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513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513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513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502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502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502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502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502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502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502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502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502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502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502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513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513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502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502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502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513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513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513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502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502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513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513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513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513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513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513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513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513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513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502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513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502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502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502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513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513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502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502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502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513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502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502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502</v>
      </c>
      <c r="D461" s="47" t="s">
        <v>416</v>
      </c>
      <c r="E461" s="27" t="s">
        <v>577</v>
      </c>
    </row>
    <row r="462" spans="1:5" ht="15.75" thickBot="1" x14ac:dyDescent="0.3">
      <c r="A462" s="16" t="b">
        <v>0</v>
      </c>
      <c r="B462" s="17" t="b">
        <v>0</v>
      </c>
      <c r="C462" s="18" t="s">
        <v>502</v>
      </c>
      <c r="D462" s="48" t="s">
        <v>361</v>
      </c>
      <c r="E462" s="28" t="s">
        <v>577</v>
      </c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502</v>
      </c>
      <c r="D464" s="46" t="s">
        <v>418</v>
      </c>
      <c r="E464" s="26" t="s">
        <v>572</v>
      </c>
    </row>
    <row r="465" spans="1:5" x14ac:dyDescent="0.25">
      <c r="A465" s="14" t="b">
        <v>0</v>
      </c>
      <c r="B465" s="39" t="b">
        <v>0</v>
      </c>
      <c r="C465" s="15" t="s">
        <v>502</v>
      </c>
      <c r="D465" s="47" t="s">
        <v>419</v>
      </c>
      <c r="E465" s="27" t="s">
        <v>572</v>
      </c>
    </row>
    <row r="466" spans="1:5" x14ac:dyDescent="0.25">
      <c r="A466" s="14" t="b">
        <v>0</v>
      </c>
      <c r="B466" s="39" t="b">
        <v>0</v>
      </c>
      <c r="C466" s="15" t="s">
        <v>502</v>
      </c>
      <c r="D466" s="47" t="s">
        <v>420</v>
      </c>
      <c r="E466" s="27" t="s">
        <v>572</v>
      </c>
    </row>
    <row r="467" spans="1:5" ht="15.75" thickBot="1" x14ac:dyDescent="0.3">
      <c r="A467" s="16" t="b">
        <v>0</v>
      </c>
      <c r="B467" s="17" t="b">
        <v>0</v>
      </c>
      <c r="C467" s="18" t="s">
        <v>502</v>
      </c>
      <c r="D467" s="48" t="s">
        <v>421</v>
      </c>
      <c r="E467" s="28" t="s">
        <v>572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502</v>
      </c>
      <c r="D469" s="46" t="s">
        <v>423</v>
      </c>
      <c r="E469" s="26" t="s">
        <v>573</v>
      </c>
    </row>
    <row r="470" spans="1:5" x14ac:dyDescent="0.25">
      <c r="A470" s="14" t="b">
        <v>0</v>
      </c>
      <c r="B470" s="39" t="b">
        <v>0</v>
      </c>
      <c r="C470" s="15" t="s">
        <v>502</v>
      </c>
      <c r="D470" s="47" t="s">
        <v>424</v>
      </c>
      <c r="E470" s="27" t="s">
        <v>573</v>
      </c>
    </row>
    <row r="471" spans="1:5" x14ac:dyDescent="0.25">
      <c r="A471" s="14" t="b">
        <v>0</v>
      </c>
      <c r="B471" s="39" t="b">
        <v>0</v>
      </c>
      <c r="C471" s="15" t="s">
        <v>502</v>
      </c>
      <c r="D471" s="47" t="s">
        <v>425</v>
      </c>
      <c r="E471" s="27" t="s">
        <v>573</v>
      </c>
    </row>
    <row r="472" spans="1:5" x14ac:dyDescent="0.25">
      <c r="A472" s="14" t="b">
        <v>0</v>
      </c>
      <c r="B472" s="39" t="b">
        <v>0</v>
      </c>
      <c r="C472" s="15" t="s">
        <v>502</v>
      </c>
      <c r="D472" s="47" t="s">
        <v>426</v>
      </c>
      <c r="E472" s="27" t="s">
        <v>573</v>
      </c>
    </row>
    <row r="473" spans="1:5" x14ac:dyDescent="0.25">
      <c r="A473" s="14" t="b">
        <v>0</v>
      </c>
      <c r="B473" s="39" t="b">
        <v>0</v>
      </c>
      <c r="C473" s="15" t="s">
        <v>502</v>
      </c>
      <c r="D473" s="47" t="s">
        <v>427</v>
      </c>
      <c r="E473" s="27" t="s">
        <v>573</v>
      </c>
    </row>
    <row r="474" spans="1:5" x14ac:dyDescent="0.25">
      <c r="A474" s="14" t="b">
        <v>0</v>
      </c>
      <c r="B474" s="39" t="b">
        <v>0</v>
      </c>
      <c r="C474" s="15" t="s">
        <v>502</v>
      </c>
      <c r="D474" s="47" t="s">
        <v>428</v>
      </c>
      <c r="E474" s="27" t="s">
        <v>573</v>
      </c>
    </row>
    <row r="475" spans="1:5" x14ac:dyDescent="0.25">
      <c r="A475" s="14" t="b">
        <v>0</v>
      </c>
      <c r="B475" s="39" t="b">
        <v>0</v>
      </c>
      <c r="C475" s="15" t="s">
        <v>502</v>
      </c>
      <c r="D475" s="47" t="s">
        <v>429</v>
      </c>
      <c r="E475" s="27" t="s">
        <v>573</v>
      </c>
    </row>
    <row r="476" spans="1:5" ht="15.75" thickBot="1" x14ac:dyDescent="0.3">
      <c r="A476" s="16" t="b">
        <v>0</v>
      </c>
      <c r="B476" s="17" t="b">
        <v>0</v>
      </c>
      <c r="C476" s="18" t="s">
        <v>502</v>
      </c>
      <c r="D476" s="48" t="s">
        <v>430</v>
      </c>
      <c r="E476" s="28" t="s">
        <v>573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502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502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513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513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513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513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513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513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513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513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513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513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513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513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513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513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513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513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513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513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513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513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513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513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513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513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513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513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502</v>
      </c>
      <c r="D511" s="47" t="s">
        <v>355</v>
      </c>
      <c r="E511" s="27" t="s">
        <v>529</v>
      </c>
    </row>
    <row r="512" spans="1:5" x14ac:dyDescent="0.25">
      <c r="A512" s="14" t="b">
        <v>1</v>
      </c>
      <c r="B512" s="39" t="b">
        <v>1</v>
      </c>
      <c r="C512" s="15" t="s">
        <v>503</v>
      </c>
      <c r="D512" s="47" t="s">
        <v>356</v>
      </c>
      <c r="E512" s="27" t="s">
        <v>529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179:C199 C201:C202 C204:C223 C225 C227:C234 C236:C257 C259 C261:C272 C274:C278 C280:C299 C301:C310 C312:C315 C317:C318 C320:C326 C328:C345 C347:C358 C360:C367 C369:C379 C381:C401 C403:C406 C408:C462 C464:C467 C469:C476 C478:C505 C507:C524 C138:C177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301:C310 C236:C257 C201:C202 C469:C476 C225 C227:C234 C204:C223 C259 C179:C199 C61:C88 C274:C278 C261:C272 C408:C462 C317:C318 C320:C326 C312:C315 C123:C136 C90:C121 C360:C367 C347:C358 C403:C406 C381:C401 C464:C467 C328:C345 C507:C524 C478:C505 C280:C299 C24:C25 C3:C12 C138:C177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B31" sqref="B31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532</v>
      </c>
      <c r="C2" s="67"/>
    </row>
    <row r="3" spans="1:3" x14ac:dyDescent="0.25">
      <c r="A3" s="61" t="s">
        <v>503</v>
      </c>
      <c r="B3" s="53" t="s">
        <v>533</v>
      </c>
      <c r="C3" s="65" t="s">
        <v>568</v>
      </c>
    </row>
    <row r="4" spans="1:3" x14ac:dyDescent="0.25">
      <c r="A4" s="62" t="s">
        <v>493</v>
      </c>
      <c r="B4" s="54" t="s">
        <v>534</v>
      </c>
      <c r="C4" s="3"/>
    </row>
    <row r="5" spans="1:3" x14ac:dyDescent="0.25">
      <c r="A5" s="62" t="s">
        <v>493</v>
      </c>
      <c r="B5" s="54" t="s">
        <v>535</v>
      </c>
      <c r="C5" s="3"/>
    </row>
    <row r="6" spans="1:3" x14ac:dyDescent="0.25">
      <c r="A6" s="62" t="s">
        <v>493</v>
      </c>
      <c r="B6" s="54" t="s">
        <v>536</v>
      </c>
      <c r="C6" s="3"/>
    </row>
    <row r="7" spans="1:3" x14ac:dyDescent="0.25">
      <c r="A7" s="62" t="s">
        <v>493</v>
      </c>
      <c r="B7" s="54" t="s">
        <v>537</v>
      </c>
      <c r="C7" s="3"/>
    </row>
    <row r="8" spans="1:3" ht="15.75" thickBot="1" x14ac:dyDescent="0.3">
      <c r="A8" s="63" t="s">
        <v>493</v>
      </c>
      <c r="B8" s="55" t="s">
        <v>538</v>
      </c>
      <c r="C8" s="4"/>
    </row>
    <row r="9" spans="1:3" ht="15.75" thickBot="1" x14ac:dyDescent="0.3">
      <c r="B9" s="73" t="s">
        <v>539</v>
      </c>
      <c r="C9" s="74"/>
    </row>
    <row r="10" spans="1:3" x14ac:dyDescent="0.25">
      <c r="A10" s="61" t="s">
        <v>513</v>
      </c>
      <c r="B10" s="53" t="s">
        <v>540</v>
      </c>
      <c r="C10" s="26"/>
    </row>
    <row r="11" spans="1:3" x14ac:dyDescent="0.25">
      <c r="A11" s="62" t="s">
        <v>513</v>
      </c>
      <c r="B11" s="54" t="s">
        <v>541</v>
      </c>
      <c r="C11" s="27"/>
    </row>
    <row r="12" spans="1:3" x14ac:dyDescent="0.25">
      <c r="A12" s="62" t="s">
        <v>513</v>
      </c>
      <c r="B12" s="54" t="s">
        <v>542</v>
      </c>
      <c r="C12" s="27"/>
    </row>
    <row r="13" spans="1:3" x14ac:dyDescent="0.25">
      <c r="A13" s="62" t="s">
        <v>513</v>
      </c>
      <c r="B13" s="54" t="s">
        <v>543</v>
      </c>
      <c r="C13" s="27"/>
    </row>
    <row r="14" spans="1:3" x14ac:dyDescent="0.25">
      <c r="A14" s="62" t="s">
        <v>513</v>
      </c>
      <c r="B14" s="54" t="s">
        <v>544</v>
      </c>
      <c r="C14" s="27"/>
    </row>
    <row r="15" spans="1:3" ht="15.75" thickBot="1" x14ac:dyDescent="0.3">
      <c r="A15" s="63" t="s">
        <v>513</v>
      </c>
      <c r="B15" s="55" t="s">
        <v>545</v>
      </c>
      <c r="C15" s="28"/>
    </row>
    <row r="16" spans="1:3" ht="15.75" thickBot="1" x14ac:dyDescent="0.3">
      <c r="B16" s="73" t="s">
        <v>546</v>
      </c>
      <c r="C16" s="74"/>
    </row>
    <row r="17" spans="1:3" x14ac:dyDescent="0.25">
      <c r="A17" s="61" t="s">
        <v>493</v>
      </c>
      <c r="B17" s="53" t="s">
        <v>548</v>
      </c>
      <c r="C17" s="26"/>
    </row>
    <row r="18" spans="1:3" x14ac:dyDescent="0.25">
      <c r="A18" s="62" t="s">
        <v>493</v>
      </c>
      <c r="B18" s="54" t="s">
        <v>549</v>
      </c>
      <c r="C18" s="27"/>
    </row>
    <row r="19" spans="1:3" x14ac:dyDescent="0.25">
      <c r="A19" s="62" t="s">
        <v>493</v>
      </c>
      <c r="B19" s="54" t="s">
        <v>550</v>
      </c>
      <c r="C19" s="27"/>
    </row>
    <row r="20" spans="1:3" x14ac:dyDescent="0.25">
      <c r="A20" s="62" t="s">
        <v>493</v>
      </c>
      <c r="B20" s="54" t="s">
        <v>551</v>
      </c>
      <c r="C20" s="27"/>
    </row>
    <row r="21" spans="1:3" x14ac:dyDescent="0.25">
      <c r="A21" s="62" t="s">
        <v>502</v>
      </c>
      <c r="B21" s="54" t="s">
        <v>552</v>
      </c>
      <c r="C21" s="27" t="s">
        <v>569</v>
      </c>
    </row>
    <row r="22" spans="1:3" x14ac:dyDescent="0.25">
      <c r="A22" s="62" t="s">
        <v>493</v>
      </c>
      <c r="B22" s="54" t="s">
        <v>553</v>
      </c>
      <c r="C22" s="27"/>
    </row>
    <row r="23" spans="1:3" x14ac:dyDescent="0.25">
      <c r="A23" s="62" t="s">
        <v>493</v>
      </c>
      <c r="B23" s="54" t="s">
        <v>554</v>
      </c>
      <c r="C23" s="27"/>
    </row>
    <row r="24" spans="1:3" x14ac:dyDescent="0.25">
      <c r="A24" s="62" t="s">
        <v>493</v>
      </c>
      <c r="B24" s="54" t="s">
        <v>555</v>
      </c>
      <c r="C24" s="27"/>
    </row>
    <row r="25" spans="1:3" x14ac:dyDescent="0.25">
      <c r="A25" s="62" t="s">
        <v>493</v>
      </c>
      <c r="B25" s="54" t="s">
        <v>556</v>
      </c>
      <c r="C25" s="27"/>
    </row>
    <row r="26" spans="1:3" ht="15.75" thickBot="1" x14ac:dyDescent="0.3">
      <c r="A26" s="63" t="s">
        <v>503</v>
      </c>
      <c r="B26" s="55" t="s">
        <v>557</v>
      </c>
      <c r="C26" s="28" t="s">
        <v>566</v>
      </c>
    </row>
    <row r="27" spans="1:3" ht="15.75" thickBot="1" x14ac:dyDescent="0.3">
      <c r="B27" s="73" t="s">
        <v>547</v>
      </c>
      <c r="C27" s="74"/>
    </row>
    <row r="28" spans="1:3" x14ac:dyDescent="0.25">
      <c r="A28" s="61" t="s">
        <v>502</v>
      </c>
      <c r="B28" s="53" t="s">
        <v>558</v>
      </c>
      <c r="C28" s="26" t="s">
        <v>570</v>
      </c>
    </row>
    <row r="29" spans="1:3" x14ac:dyDescent="0.25">
      <c r="A29" s="62" t="s">
        <v>493</v>
      </c>
      <c r="B29" s="54" t="s">
        <v>559</v>
      </c>
      <c r="C29" s="27"/>
    </row>
    <row r="30" spans="1:3" x14ac:dyDescent="0.25">
      <c r="A30" s="62" t="s">
        <v>503</v>
      </c>
      <c r="B30" s="54" t="s">
        <v>560</v>
      </c>
      <c r="C30" s="27" t="s">
        <v>567</v>
      </c>
    </row>
    <row r="31" spans="1:3" x14ac:dyDescent="0.25">
      <c r="A31" s="62" t="s">
        <v>493</v>
      </c>
      <c r="B31" s="54" t="s">
        <v>561</v>
      </c>
      <c r="C31" s="27" t="s">
        <v>565</v>
      </c>
    </row>
    <row r="32" spans="1:3" x14ac:dyDescent="0.25">
      <c r="A32" s="62" t="s">
        <v>503</v>
      </c>
      <c r="B32" s="54" t="s">
        <v>562</v>
      </c>
      <c r="C32" s="27" t="s">
        <v>566</v>
      </c>
    </row>
    <row r="33" spans="1:3" x14ac:dyDescent="0.25">
      <c r="A33" s="62" t="s">
        <v>502</v>
      </c>
      <c r="B33" s="54" t="s">
        <v>563</v>
      </c>
      <c r="C33" s="27" t="s">
        <v>571</v>
      </c>
    </row>
    <row r="34" spans="1:3" ht="15.75" thickBot="1" x14ac:dyDescent="0.3">
      <c r="A34" s="63" t="s">
        <v>513</v>
      </c>
      <c r="B34" s="55" t="s">
        <v>564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46" operator="containsText" text="Not Started">
      <formula>NOT(ISERROR(SEARCH("Not Started",A3)))</formula>
    </cfRule>
    <cfRule type="containsText" dxfId="45" priority="59" operator="containsText" text="Not Supported">
      <formula>NOT(ISERROR(SEARCH("Not Supported",A3)))</formula>
    </cfRule>
    <cfRule type="containsText" dxfId="44" priority="60" operator="containsText" text="Partial Support">
      <formula>NOT(ISERROR(SEARCH("Partial Support",A3)))</formula>
    </cfRule>
    <cfRule type="containsText" dxfId="43" priority="61" operator="containsText" text="Supported">
      <formula>NOT(ISERROR(SEARCH("Supported",A3)))</formula>
    </cfRule>
    <cfRule type="containsText" dxfId="42" priority="62" operator="containsText" text="Working">
      <formula>NOT(ISERROR(SEARCH("Working",A3)))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3">
      <formula xml:space="preserve"> AND($A3 = "Not Supported", MOD(ROW(),2)=1)</formula>
    </cfRule>
    <cfRule type="expression" dxfId="19" priority="54">
      <formula xml:space="preserve"> AND($A3 = "Partial Support", MOD(ROW(),2) = 1)</formula>
    </cfRule>
    <cfRule type="expression" dxfId="18" priority="55">
      <formula xml:space="preserve"> AND($A3 = "Supported", MOD(ROW(),2) = 1)</formula>
    </cfRule>
    <cfRule type="expression" dxfId="17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6"/>
  <sheetViews>
    <sheetView topLeftCell="A3" workbookViewId="0">
      <selection activeCell="C26" sqref="C26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496</v>
      </c>
      <c r="C7" s="24" t="b">
        <v>1</v>
      </c>
    </row>
    <row r="8" spans="1:3" x14ac:dyDescent="0.25">
      <c r="A8" s="34">
        <v>45973</v>
      </c>
      <c r="B8" s="35" t="s">
        <v>497</v>
      </c>
      <c r="C8" s="24" t="b">
        <v>1</v>
      </c>
    </row>
    <row r="9" spans="1:3" x14ac:dyDescent="0.25">
      <c r="A9" s="34">
        <v>45973</v>
      </c>
      <c r="B9" s="35" t="s">
        <v>498</v>
      </c>
      <c r="C9" s="24" t="b">
        <v>1</v>
      </c>
    </row>
    <row r="10" spans="1:3" x14ac:dyDescent="0.25">
      <c r="A10" s="34">
        <v>45973</v>
      </c>
      <c r="B10" s="35" t="s">
        <v>499</v>
      </c>
      <c r="C10" s="24" t="b">
        <v>1</v>
      </c>
    </row>
    <row r="11" spans="1:3" ht="30" x14ac:dyDescent="0.25">
      <c r="A11" s="25">
        <v>45973</v>
      </c>
      <c r="B11" s="37" t="s">
        <v>500</v>
      </c>
      <c r="C11" s="24" t="b">
        <v>1</v>
      </c>
    </row>
    <row r="12" spans="1:3" ht="30" x14ac:dyDescent="0.25">
      <c r="A12" s="34">
        <v>45974</v>
      </c>
      <c r="B12" s="38" t="s">
        <v>501</v>
      </c>
      <c r="C12" s="24" t="b">
        <v>1</v>
      </c>
    </row>
    <row r="13" spans="1:3" x14ac:dyDescent="0.25">
      <c r="A13" s="34">
        <v>45974</v>
      </c>
      <c r="B13" t="s">
        <v>506</v>
      </c>
      <c r="C13" s="24" t="b">
        <v>1</v>
      </c>
    </row>
    <row r="14" spans="1:3" x14ac:dyDescent="0.25">
      <c r="A14" s="34">
        <v>45980</v>
      </c>
      <c r="B14" t="s">
        <v>510</v>
      </c>
      <c r="C14" s="24" t="b">
        <v>1</v>
      </c>
    </row>
    <row r="15" spans="1:3" ht="30" x14ac:dyDescent="0.25">
      <c r="A15" s="34">
        <v>45980</v>
      </c>
      <c r="B15" s="37" t="s">
        <v>511</v>
      </c>
      <c r="C15" s="24" t="b">
        <v>1</v>
      </c>
    </row>
    <row r="16" spans="1:3" x14ac:dyDescent="0.25">
      <c r="A16" s="34">
        <v>45981</v>
      </c>
      <c r="B16" t="s">
        <v>516</v>
      </c>
      <c r="C16" s="24" t="b">
        <v>1</v>
      </c>
    </row>
    <row r="17" spans="1:3" x14ac:dyDescent="0.25">
      <c r="A17" s="34">
        <v>45981</v>
      </c>
      <c r="B17" t="s">
        <v>517</v>
      </c>
      <c r="C17" s="24" t="b">
        <v>1</v>
      </c>
    </row>
    <row r="18" spans="1:3" x14ac:dyDescent="0.25">
      <c r="A18" s="34">
        <v>45982</v>
      </c>
      <c r="B18" t="s">
        <v>521</v>
      </c>
      <c r="C18" s="24" t="b">
        <v>1</v>
      </c>
    </row>
    <row r="19" spans="1:3" x14ac:dyDescent="0.25">
      <c r="A19" s="34">
        <v>45985</v>
      </c>
      <c r="B19" t="s">
        <v>524</v>
      </c>
      <c r="C19" s="24" t="b">
        <v>1</v>
      </c>
    </row>
    <row r="20" spans="1:3" x14ac:dyDescent="0.25">
      <c r="A20" s="34">
        <v>45985</v>
      </c>
      <c r="B20" t="s">
        <v>526</v>
      </c>
      <c r="C20" s="24" t="b">
        <v>1</v>
      </c>
    </row>
    <row r="21" spans="1:3" ht="30" x14ac:dyDescent="0.25">
      <c r="A21" s="34">
        <v>45985</v>
      </c>
      <c r="B21" s="37" t="s">
        <v>527</v>
      </c>
      <c r="C21" s="24" t="b">
        <v>1</v>
      </c>
    </row>
    <row r="22" spans="1:3" x14ac:dyDescent="0.25">
      <c r="A22" s="34">
        <v>45986</v>
      </c>
      <c r="B22" t="s">
        <v>528</v>
      </c>
      <c r="C22" s="24" t="b">
        <v>1</v>
      </c>
    </row>
    <row r="23" spans="1:3" x14ac:dyDescent="0.25">
      <c r="A23" s="34">
        <v>45987</v>
      </c>
      <c r="B23" t="s">
        <v>530</v>
      </c>
      <c r="C23" s="24" t="b">
        <v>0</v>
      </c>
    </row>
    <row r="24" spans="1:3" x14ac:dyDescent="0.25">
      <c r="A24" s="34">
        <v>45987</v>
      </c>
      <c r="B24" t="s">
        <v>531</v>
      </c>
      <c r="C24" s="24" t="b">
        <v>0</v>
      </c>
    </row>
    <row r="25" spans="1:3" x14ac:dyDescent="0.25">
      <c r="A25" s="34">
        <v>45993</v>
      </c>
      <c r="B25" t="s">
        <v>580</v>
      </c>
      <c r="C25" s="24" t="b">
        <v>0</v>
      </c>
    </row>
    <row r="26" spans="1:3" x14ac:dyDescent="0.25">
      <c r="A26" s="34">
        <v>45993</v>
      </c>
      <c r="B26" t="s">
        <v>581</v>
      </c>
      <c r="C26" s="24" t="b">
        <v>0</v>
      </c>
    </row>
  </sheetData>
  <conditionalFormatting sqref="C2:C26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52</v>
      </c>
      <c r="C2" s="67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503</v>
      </c>
      <c r="B4" s="54" t="s">
        <v>4</v>
      </c>
      <c r="C4" s="3"/>
    </row>
    <row r="5" spans="1:3" x14ac:dyDescent="0.25">
      <c r="A5" s="15" t="s">
        <v>503</v>
      </c>
      <c r="B5" s="54" t="s">
        <v>7</v>
      </c>
      <c r="C5" s="3"/>
    </row>
    <row r="6" spans="1:3" x14ac:dyDescent="0.25">
      <c r="A6" s="15" t="s">
        <v>503</v>
      </c>
      <c r="B6" s="54" t="s">
        <v>8</v>
      </c>
      <c r="C6" s="5"/>
    </row>
    <row r="7" spans="1:3" ht="15.75" thickBot="1" x14ac:dyDescent="0.3">
      <c r="A7" s="18" t="s">
        <v>503</v>
      </c>
      <c r="B7" s="55" t="s">
        <v>9</v>
      </c>
      <c r="C7" s="4"/>
    </row>
    <row r="8" spans="1:3" ht="15.75" thickBot="1" x14ac:dyDescent="0.3">
      <c r="B8" s="66" t="s">
        <v>54</v>
      </c>
      <c r="C8" s="67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8" t="s">
        <v>55</v>
      </c>
      <c r="C11" s="69"/>
    </row>
    <row r="12" spans="1:3" x14ac:dyDescent="0.25">
      <c r="A12" s="13" t="s">
        <v>503</v>
      </c>
      <c r="B12" s="53" t="s">
        <v>8</v>
      </c>
      <c r="C12" s="5" t="s">
        <v>484</v>
      </c>
    </row>
    <row r="13" spans="1:3" x14ac:dyDescent="0.25">
      <c r="A13" s="15" t="s">
        <v>503</v>
      </c>
      <c r="B13" s="54" t="s">
        <v>9</v>
      </c>
      <c r="C13" s="8" t="s">
        <v>495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503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503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502</v>
      </c>
      <c r="B27" s="54" t="s">
        <v>34</v>
      </c>
      <c r="C27" s="8" t="s">
        <v>480</v>
      </c>
    </row>
    <row r="28" spans="1:3" x14ac:dyDescent="0.25">
      <c r="A28" s="15" t="s">
        <v>502</v>
      </c>
      <c r="B28" s="54" t="s">
        <v>35</v>
      </c>
      <c r="C28" s="8" t="s">
        <v>480</v>
      </c>
    </row>
    <row r="29" spans="1:3" x14ac:dyDescent="0.25">
      <c r="A29" s="15" t="s">
        <v>502</v>
      </c>
      <c r="B29" s="54" t="s">
        <v>36</v>
      </c>
      <c r="C29" s="8" t="s">
        <v>475</v>
      </c>
    </row>
    <row r="30" spans="1:3" x14ac:dyDescent="0.25">
      <c r="A30" s="15" t="s">
        <v>502</v>
      </c>
      <c r="B30" s="54" t="s">
        <v>37</v>
      </c>
      <c r="C30" s="8" t="s">
        <v>475</v>
      </c>
    </row>
    <row r="31" spans="1:3" x14ac:dyDescent="0.25">
      <c r="A31" s="15" t="s">
        <v>502</v>
      </c>
      <c r="B31" s="54" t="s">
        <v>38</v>
      </c>
      <c r="C31" s="8" t="s">
        <v>475</v>
      </c>
    </row>
    <row r="32" spans="1:3" x14ac:dyDescent="0.25">
      <c r="A32" s="15" t="s">
        <v>502</v>
      </c>
      <c r="B32" s="54" t="s">
        <v>39</v>
      </c>
      <c r="C32" s="8" t="s">
        <v>475</v>
      </c>
    </row>
    <row r="33" spans="1:3" x14ac:dyDescent="0.25">
      <c r="A33" s="15" t="s">
        <v>502</v>
      </c>
      <c r="B33" s="54" t="s">
        <v>40</v>
      </c>
      <c r="C33" s="8" t="s">
        <v>481</v>
      </c>
    </row>
    <row r="34" spans="1:3" x14ac:dyDescent="0.25">
      <c r="A34" s="15" t="s">
        <v>502</v>
      </c>
      <c r="B34" s="54" t="s">
        <v>41</v>
      </c>
      <c r="C34" s="8" t="s">
        <v>481</v>
      </c>
    </row>
    <row r="35" spans="1:3" x14ac:dyDescent="0.25">
      <c r="A35" s="15" t="s">
        <v>503</v>
      </c>
      <c r="B35" s="54" t="s">
        <v>42</v>
      </c>
      <c r="C35" s="9" t="s">
        <v>482</v>
      </c>
    </row>
    <row r="36" spans="1:3" x14ac:dyDescent="0.25">
      <c r="A36" s="15" t="s">
        <v>503</v>
      </c>
      <c r="B36" s="54" t="s">
        <v>43</v>
      </c>
      <c r="C36" s="9" t="s">
        <v>482</v>
      </c>
    </row>
    <row r="37" spans="1:3" x14ac:dyDescent="0.25">
      <c r="A37" s="15" t="s">
        <v>502</v>
      </c>
      <c r="B37" s="54" t="s">
        <v>44</v>
      </c>
      <c r="C37" s="8" t="s">
        <v>480</v>
      </c>
    </row>
    <row r="38" spans="1:3" x14ac:dyDescent="0.25">
      <c r="A38" s="15" t="s">
        <v>502</v>
      </c>
      <c r="B38" s="54" t="s">
        <v>45</v>
      </c>
      <c r="C38" s="8" t="s">
        <v>480</v>
      </c>
    </row>
    <row r="39" spans="1:3" x14ac:dyDescent="0.25">
      <c r="A39" s="15" t="s">
        <v>502</v>
      </c>
      <c r="B39" s="54" t="s">
        <v>46</v>
      </c>
      <c r="C39" s="8" t="s">
        <v>479</v>
      </c>
    </row>
    <row r="40" spans="1:3" x14ac:dyDescent="0.25">
      <c r="A40" s="15" t="s">
        <v>502</v>
      </c>
      <c r="B40" s="54" t="s">
        <v>47</v>
      </c>
      <c r="C40" s="8" t="s">
        <v>479</v>
      </c>
    </row>
    <row r="41" spans="1:3" x14ac:dyDescent="0.25">
      <c r="A41" s="15" t="s">
        <v>502</v>
      </c>
      <c r="B41" s="54" t="s">
        <v>48</v>
      </c>
      <c r="C41" s="8" t="s">
        <v>480</v>
      </c>
    </row>
    <row r="42" spans="1:3" x14ac:dyDescent="0.25">
      <c r="A42" s="15" t="s">
        <v>502</v>
      </c>
      <c r="B42" s="54" t="s">
        <v>49</v>
      </c>
      <c r="C42" s="8" t="s">
        <v>480</v>
      </c>
    </row>
    <row r="43" spans="1:3" x14ac:dyDescent="0.25">
      <c r="A43" s="15" t="s">
        <v>503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503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502</v>
      </c>
      <c r="B48" s="43" t="s">
        <v>57</v>
      </c>
      <c r="C48" s="8" t="s">
        <v>475</v>
      </c>
    </row>
    <row r="49" spans="1:3" x14ac:dyDescent="0.25">
      <c r="A49" s="15" t="s">
        <v>502</v>
      </c>
      <c r="B49" s="43" t="s">
        <v>58</v>
      </c>
      <c r="C49" s="8" t="s">
        <v>475</v>
      </c>
    </row>
    <row r="50" spans="1:3" x14ac:dyDescent="0.25">
      <c r="A50" s="15" t="s">
        <v>502</v>
      </c>
      <c r="B50" s="43" t="s">
        <v>59</v>
      </c>
      <c r="C50" s="8" t="s">
        <v>475</v>
      </c>
    </row>
    <row r="51" spans="1:3" x14ac:dyDescent="0.25">
      <c r="A51" s="15" t="s">
        <v>502</v>
      </c>
      <c r="B51" s="43" t="s">
        <v>60</v>
      </c>
      <c r="C51" s="8" t="s">
        <v>475</v>
      </c>
    </row>
    <row r="52" spans="1:3" x14ac:dyDescent="0.25">
      <c r="A52" s="60" t="s">
        <v>503</v>
      </c>
      <c r="B52" s="43" t="s">
        <v>61</v>
      </c>
      <c r="C52" s="9" t="s">
        <v>519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503</v>
      </c>
      <c r="B56" s="43" t="s">
        <v>65</v>
      </c>
      <c r="C56" s="8" t="s">
        <v>520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502</v>
      </c>
      <c r="B60" s="43" t="s">
        <v>69</v>
      </c>
      <c r="C60" s="8"/>
    </row>
    <row r="61" spans="1:3" x14ac:dyDescent="0.25">
      <c r="A61" s="60" t="s">
        <v>502</v>
      </c>
      <c r="B61" s="43" t="s">
        <v>70</v>
      </c>
      <c r="C61" s="8"/>
    </row>
    <row r="62" spans="1:3" x14ac:dyDescent="0.25">
      <c r="A62" s="60" t="s">
        <v>502</v>
      </c>
      <c r="B62" s="43" t="s">
        <v>71</v>
      </c>
      <c r="C62" s="8"/>
    </row>
    <row r="63" spans="1:3" x14ac:dyDescent="0.25">
      <c r="A63" s="60" t="s">
        <v>502</v>
      </c>
      <c r="B63" s="43" t="s">
        <v>72</v>
      </c>
      <c r="C63" s="8"/>
    </row>
    <row r="64" spans="1:3" x14ac:dyDescent="0.25">
      <c r="A64" s="60" t="s">
        <v>503</v>
      </c>
      <c r="B64" s="43" t="s">
        <v>73</v>
      </c>
      <c r="C64" s="8" t="s">
        <v>518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502</v>
      </c>
      <c r="B68" s="43" t="s">
        <v>77</v>
      </c>
      <c r="C68" s="8" t="s">
        <v>479</v>
      </c>
    </row>
    <row r="69" spans="1:3" x14ac:dyDescent="0.25">
      <c r="A69" s="15" t="s">
        <v>502</v>
      </c>
      <c r="B69" s="43" t="s">
        <v>78</v>
      </c>
      <c r="C69" s="8" t="s">
        <v>479</v>
      </c>
    </row>
    <row r="70" spans="1:3" x14ac:dyDescent="0.25">
      <c r="A70" s="15" t="s">
        <v>502</v>
      </c>
      <c r="B70" s="43" t="s">
        <v>79</v>
      </c>
      <c r="C70" s="8" t="s">
        <v>480</v>
      </c>
    </row>
    <row r="71" spans="1:3" x14ac:dyDescent="0.25">
      <c r="A71" s="15" t="s">
        <v>502</v>
      </c>
      <c r="B71" s="43" t="s">
        <v>80</v>
      </c>
      <c r="C71" s="8" t="s">
        <v>480</v>
      </c>
    </row>
    <row r="72" spans="1:3" x14ac:dyDescent="0.25">
      <c r="A72" s="60" t="s">
        <v>503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503</v>
      </c>
      <c r="B75" s="42" t="s">
        <v>83</v>
      </c>
      <c r="C75" s="8" t="s">
        <v>525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503</v>
      </c>
      <c r="B81" s="43" t="s">
        <v>88</v>
      </c>
      <c r="C81" s="8" t="s">
        <v>520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503</v>
      </c>
      <c r="B85" s="43" t="s">
        <v>92</v>
      </c>
      <c r="C85" s="8" t="s">
        <v>525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502</v>
      </c>
      <c r="B89" s="43" t="s">
        <v>96</v>
      </c>
      <c r="C89" s="8" t="s">
        <v>523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502</v>
      </c>
      <c r="B91" s="43" t="s">
        <v>98</v>
      </c>
      <c r="C91" s="8" t="s">
        <v>480</v>
      </c>
    </row>
    <row r="92" spans="1:3" x14ac:dyDescent="0.25">
      <c r="A92" s="60" t="s">
        <v>502</v>
      </c>
      <c r="B92" s="43" t="s">
        <v>99</v>
      </c>
      <c r="C92" s="8" t="s">
        <v>480</v>
      </c>
    </row>
    <row r="93" spans="1:3" x14ac:dyDescent="0.25">
      <c r="A93" s="15" t="s">
        <v>502</v>
      </c>
      <c r="B93" s="43" t="s">
        <v>100</v>
      </c>
      <c r="C93" s="8" t="s">
        <v>475</v>
      </c>
    </row>
    <row r="94" spans="1:3" x14ac:dyDescent="0.25">
      <c r="A94" s="15" t="s">
        <v>502</v>
      </c>
      <c r="B94" s="43" t="s">
        <v>101</v>
      </c>
      <c r="C94" s="8" t="s">
        <v>475</v>
      </c>
    </row>
    <row r="95" spans="1:3" x14ac:dyDescent="0.25">
      <c r="A95" s="15" t="s">
        <v>502</v>
      </c>
      <c r="B95" s="43" t="s">
        <v>102</v>
      </c>
      <c r="C95" s="8" t="s">
        <v>475</v>
      </c>
    </row>
    <row r="96" spans="1:3" x14ac:dyDescent="0.25">
      <c r="A96" s="15" t="s">
        <v>502</v>
      </c>
      <c r="B96" s="43" t="s">
        <v>103</v>
      </c>
      <c r="C96" s="8" t="s">
        <v>475</v>
      </c>
    </row>
    <row r="97" spans="1:3" x14ac:dyDescent="0.25">
      <c r="A97" s="60" t="s">
        <v>503</v>
      </c>
      <c r="B97" s="43" t="s">
        <v>104</v>
      </c>
      <c r="C97" s="9" t="s">
        <v>519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502</v>
      </c>
      <c r="B99" s="43" t="s">
        <v>106</v>
      </c>
      <c r="C99" s="8" t="s">
        <v>479</v>
      </c>
    </row>
    <row r="100" spans="1:3" x14ac:dyDescent="0.25">
      <c r="A100" s="15" t="s">
        <v>502</v>
      </c>
      <c r="B100" s="43" t="s">
        <v>107</v>
      </c>
      <c r="C100" s="8" t="s">
        <v>479</v>
      </c>
    </row>
    <row r="101" spans="1:3" x14ac:dyDescent="0.25">
      <c r="A101" s="15" t="s">
        <v>502</v>
      </c>
      <c r="B101" s="43" t="s">
        <v>108</v>
      </c>
      <c r="C101" s="8" t="s">
        <v>480</v>
      </c>
    </row>
    <row r="102" spans="1:3" x14ac:dyDescent="0.25">
      <c r="A102" s="15" t="s">
        <v>502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502</v>
      </c>
      <c r="B105" s="43" t="s">
        <v>112</v>
      </c>
      <c r="C105" s="8"/>
    </row>
    <row r="106" spans="1:3" ht="15.75" thickBot="1" x14ac:dyDescent="0.3">
      <c r="A106" s="18" t="s">
        <v>502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502</v>
      </c>
      <c r="B108" s="46" t="s">
        <v>191</v>
      </c>
      <c r="C108" s="6" t="s">
        <v>480</v>
      </c>
    </row>
    <row r="109" spans="1:3" x14ac:dyDescent="0.25">
      <c r="A109" s="15" t="s">
        <v>502</v>
      </c>
      <c r="B109" s="47" t="s">
        <v>128</v>
      </c>
      <c r="C109" s="8" t="s">
        <v>480</v>
      </c>
    </row>
    <row r="110" spans="1:3" x14ac:dyDescent="0.25">
      <c r="A110" s="15" t="s">
        <v>502</v>
      </c>
      <c r="B110" s="47" t="s">
        <v>98</v>
      </c>
      <c r="C110" s="8" t="s">
        <v>480</v>
      </c>
    </row>
    <row r="111" spans="1:3" x14ac:dyDescent="0.25">
      <c r="A111" s="15" t="s">
        <v>502</v>
      </c>
      <c r="B111" s="47" t="s">
        <v>99</v>
      </c>
      <c r="C111" s="8" t="s">
        <v>480</v>
      </c>
    </row>
    <row r="112" spans="1:3" x14ac:dyDescent="0.25">
      <c r="A112" s="15" t="s">
        <v>502</v>
      </c>
      <c r="B112" s="47" t="s">
        <v>108</v>
      </c>
      <c r="C112" s="8" t="s">
        <v>480</v>
      </c>
    </row>
    <row r="113" spans="1:3" x14ac:dyDescent="0.25">
      <c r="A113" s="15" t="s">
        <v>502</v>
      </c>
      <c r="B113" s="47" t="s">
        <v>109</v>
      </c>
      <c r="C113" s="8" t="s">
        <v>480</v>
      </c>
    </row>
    <row r="114" spans="1:3" x14ac:dyDescent="0.25">
      <c r="A114" s="15" t="s">
        <v>502</v>
      </c>
      <c r="B114" s="47" t="s">
        <v>192</v>
      </c>
      <c r="C114" s="8" t="s">
        <v>480</v>
      </c>
    </row>
    <row r="115" spans="1:3" x14ac:dyDescent="0.25">
      <c r="A115" s="15" t="s">
        <v>502</v>
      </c>
      <c r="B115" s="47" t="s">
        <v>193</v>
      </c>
      <c r="C115" s="8" t="s">
        <v>480</v>
      </c>
    </row>
    <row r="116" spans="1:3" x14ac:dyDescent="0.25">
      <c r="A116" s="15" t="s">
        <v>502</v>
      </c>
      <c r="B116" s="47" t="s">
        <v>79</v>
      </c>
      <c r="C116" s="8" t="s">
        <v>480</v>
      </c>
    </row>
    <row r="117" spans="1:3" x14ac:dyDescent="0.25">
      <c r="A117" s="15" t="s">
        <v>502</v>
      </c>
      <c r="B117" s="47" t="s">
        <v>80</v>
      </c>
      <c r="C117" s="8" t="s">
        <v>480</v>
      </c>
    </row>
    <row r="118" spans="1:3" x14ac:dyDescent="0.25">
      <c r="A118" s="15" t="s">
        <v>502</v>
      </c>
      <c r="B118" s="47" t="s">
        <v>184</v>
      </c>
      <c r="C118" s="8" t="s">
        <v>480</v>
      </c>
    </row>
    <row r="119" spans="1:3" x14ac:dyDescent="0.25">
      <c r="A119" s="15" t="s">
        <v>502</v>
      </c>
      <c r="B119" s="47" t="s">
        <v>186</v>
      </c>
      <c r="C119" s="8" t="s">
        <v>480</v>
      </c>
    </row>
    <row r="120" spans="1:3" x14ac:dyDescent="0.25">
      <c r="A120" s="15" t="s">
        <v>502</v>
      </c>
      <c r="B120" s="47" t="s">
        <v>142</v>
      </c>
      <c r="C120" s="8" t="s">
        <v>480</v>
      </c>
    </row>
    <row r="121" spans="1:3" x14ac:dyDescent="0.25">
      <c r="A121" s="15" t="s">
        <v>502</v>
      </c>
      <c r="B121" s="47" t="s">
        <v>143</v>
      </c>
      <c r="C121" s="8" t="s">
        <v>480</v>
      </c>
    </row>
    <row r="122" spans="1:3" x14ac:dyDescent="0.25">
      <c r="A122" s="15" t="s">
        <v>502</v>
      </c>
      <c r="B122" s="47" t="s">
        <v>34</v>
      </c>
      <c r="C122" s="8" t="s">
        <v>480</v>
      </c>
    </row>
    <row r="123" spans="1:3" x14ac:dyDescent="0.25">
      <c r="A123" s="15" t="s">
        <v>502</v>
      </c>
      <c r="B123" s="47" t="s">
        <v>35</v>
      </c>
      <c r="C123" s="8" t="s">
        <v>480</v>
      </c>
    </row>
    <row r="124" spans="1:3" x14ac:dyDescent="0.25">
      <c r="A124" s="15" t="s">
        <v>502</v>
      </c>
      <c r="B124" s="47" t="s">
        <v>44</v>
      </c>
      <c r="C124" s="8" t="s">
        <v>480</v>
      </c>
    </row>
    <row r="125" spans="1:3" x14ac:dyDescent="0.25">
      <c r="A125" s="15" t="s">
        <v>502</v>
      </c>
      <c r="B125" s="47" t="s">
        <v>45</v>
      </c>
      <c r="C125" s="8" t="s">
        <v>480</v>
      </c>
    </row>
    <row r="126" spans="1:3" x14ac:dyDescent="0.25">
      <c r="A126" s="15" t="s">
        <v>502</v>
      </c>
      <c r="B126" s="47" t="s">
        <v>48</v>
      </c>
      <c r="C126" s="8" t="s">
        <v>480</v>
      </c>
    </row>
    <row r="127" spans="1:3" ht="15.75" thickBot="1" x14ac:dyDescent="0.3">
      <c r="A127" s="18" t="s">
        <v>502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502</v>
      </c>
      <c r="B131" s="43" t="s">
        <v>199</v>
      </c>
      <c r="C131" s="8" t="s">
        <v>512</v>
      </c>
    </row>
    <row r="132" spans="1:3" x14ac:dyDescent="0.25">
      <c r="A132" s="15" t="s">
        <v>502</v>
      </c>
      <c r="B132" s="43" t="s">
        <v>200</v>
      </c>
      <c r="C132" s="8" t="s">
        <v>512</v>
      </c>
    </row>
    <row r="133" spans="1:3" x14ac:dyDescent="0.25">
      <c r="A133" s="15" t="s">
        <v>502</v>
      </c>
      <c r="B133" s="43" t="s">
        <v>201</v>
      </c>
      <c r="C133" s="8" t="s">
        <v>512</v>
      </c>
    </row>
    <row r="134" spans="1:3" x14ac:dyDescent="0.25">
      <c r="A134" s="15" t="s">
        <v>502</v>
      </c>
      <c r="B134" s="43" t="s">
        <v>202</v>
      </c>
      <c r="C134" s="8" t="s">
        <v>512</v>
      </c>
    </row>
    <row r="135" spans="1:3" x14ac:dyDescent="0.25">
      <c r="A135" s="15" t="s">
        <v>502</v>
      </c>
      <c r="B135" s="43" t="s">
        <v>203</v>
      </c>
      <c r="C135" s="8" t="s">
        <v>512</v>
      </c>
    </row>
    <row r="136" spans="1:3" ht="15.75" thickBot="1" x14ac:dyDescent="0.3">
      <c r="A136" s="18" t="s">
        <v>502</v>
      </c>
      <c r="B136" s="44" t="s">
        <v>204</v>
      </c>
      <c r="C136" s="7" t="s">
        <v>512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503</v>
      </c>
      <c r="B138" s="46" t="s">
        <v>206</v>
      </c>
      <c r="C138" s="26" t="s">
        <v>508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502</v>
      </c>
      <c r="B140" s="47" t="s">
        <v>208</v>
      </c>
      <c r="C140" s="27"/>
    </row>
    <row r="141" spans="1:3" x14ac:dyDescent="0.25">
      <c r="A141" s="15" t="s">
        <v>502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502</v>
      </c>
      <c r="B145" s="47" t="s">
        <v>199</v>
      </c>
      <c r="C145" s="27" t="s">
        <v>512</v>
      </c>
    </row>
    <row r="146" spans="1:3" x14ac:dyDescent="0.25">
      <c r="A146" s="15" t="s">
        <v>502</v>
      </c>
      <c r="B146" s="47" t="s">
        <v>200</v>
      </c>
      <c r="C146" s="27" t="s">
        <v>512</v>
      </c>
    </row>
    <row r="147" spans="1:3" x14ac:dyDescent="0.25">
      <c r="A147" s="15" t="s">
        <v>502</v>
      </c>
      <c r="B147" s="47" t="s">
        <v>211</v>
      </c>
      <c r="C147" s="27" t="s">
        <v>515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502</v>
      </c>
      <c r="B154" s="47" t="s">
        <v>218</v>
      </c>
      <c r="C154" s="27" t="s">
        <v>512</v>
      </c>
    </row>
    <row r="155" spans="1:3" x14ac:dyDescent="0.25">
      <c r="A155" s="15" t="s">
        <v>502</v>
      </c>
      <c r="B155" s="47" t="s">
        <v>219</v>
      </c>
      <c r="C155" s="27" t="s">
        <v>512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503</v>
      </c>
      <c r="B158" s="47" t="s">
        <v>222</v>
      </c>
      <c r="C158" s="27" t="s">
        <v>507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505</v>
      </c>
    </row>
    <row r="162" spans="1:3" x14ac:dyDescent="0.25">
      <c r="A162" s="15" t="s">
        <v>502</v>
      </c>
      <c r="B162" s="47" t="s">
        <v>287</v>
      </c>
      <c r="C162" s="27"/>
    </row>
    <row r="163" spans="1:3" x14ac:dyDescent="0.25">
      <c r="A163" s="15" t="s">
        <v>502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503</v>
      </c>
      <c r="B165" s="47" t="s">
        <v>290</v>
      </c>
      <c r="C165" s="36" t="s">
        <v>509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2025-12-04T16:53:23Z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