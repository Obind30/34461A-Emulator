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ralliant-my.sharepoint.com/personal/oliver_bindewald_tektronix_com/Documents/Documents/DMM6500 Emulation/34461A-Emulator/"/>
    </mc:Choice>
  </mc:AlternateContent>
  <xr:revisionPtr revIDLastSave="3293" documentId="11_F25DC773A252ABDACC1048A921D94B805ADE58F2" xr6:coauthVersionLast="47" xr6:coauthVersionMax="47" xr10:uidLastSave="{F7A94BD8-30B7-429D-8F56-1A8ABC33E9DA}"/>
  <bookViews>
    <workbookView xWindow="28680" yWindow="-7935" windowWidth="16440" windowHeight="29040" firstSheet="2" activeTab="2" xr2:uid="{00000000-000D-0000-FFFF-FFFF00000000}"/>
  </bookViews>
  <sheets>
    <sheet name="Supported Commands" sheetId="1" r:id="rId1"/>
    <sheet name="Status Model" sheetId="5" r:id="rId2"/>
    <sheet name="Todo List" sheetId="2" r:id="rId3"/>
    <sheet name="Customer Supported Command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  <c r="I4" i="1"/>
  <c r="I3" i="1"/>
  <c r="H3" i="1"/>
  <c r="H4" i="1"/>
  <c r="H7" i="1"/>
  <c r="H6" i="1"/>
  <c r="H5" i="1"/>
</calcChain>
</file>

<file path=xl/sharedStrings.xml><?xml version="1.0" encoding="utf-8"?>
<sst xmlns="http://schemas.openxmlformats.org/spreadsheetml/2006/main" count="1862" uniqueCount="642">
  <si>
    <t>34461A SCPI</t>
  </si>
  <si>
    <t>CONFigure?</t>
  </si>
  <si>
    <t>CONFigure:CAPacitance [{|AUTO|MIN|MAX|DEF} [, {|MIN|MAX|DEF}]]</t>
  </si>
  <si>
    <t>CONFigure:CONTinuity</t>
  </si>
  <si>
    <t>CONFigure:CURRent:{AC|DC} [{|AUTO|MIN|MAX|DEF} [, {|MIN|MAX|DEF}]]</t>
  </si>
  <si>
    <t>CONFigure:DIODe</t>
  </si>
  <si>
    <t>CONFigure:{FREQuency|PERiod} [{|MIN|MAX|DEF} [, {|MIN|MAX|DEF}]]</t>
  </si>
  <si>
    <t>CONFigure:{RESistance|FRESistance} [{&lt;range&gt;|AUTO|MIN|MAX|DEF} [, {&lt;resolution&gt;|MIN|MAX|DEF}]]</t>
  </si>
  <si>
    <t>CONFigure[:VOLTage]:{AC|DC} [{&lt;range&gt;|AUTO|MIN|MAX|DEF} [, {&lt;resolution&gt;|MIN|MAX|DEF}]]</t>
  </si>
  <si>
    <t>CONFigure[:VOLTage][:DC]:RATio [{&lt;range&gt;|AUTO|MIN|MAX|DEF} [, {&lt;resolution&gt;|MIN|MAX|DEF}]]</t>
  </si>
  <si>
    <t>CONFigure:TEMPerature [{FRTD|RTD|FTHermistor|THERmistor|TCouple|DEFault}
[, {&lt;type&gt;|DEFault} [,1 ,{&lt;resolution&gt;|MIN|MAX|DEF}]]]]</t>
  </si>
  <si>
    <t>MEASure:CAPacitance? [{&lt;range&gt;|AUTO|MIN|MAX|DEF} [, {&lt;resolution&gt;|MIN|MAX|DEF}]]</t>
  </si>
  <si>
    <t>MEASure:CONTinuity?</t>
  </si>
  <si>
    <t>MEASure:CURRent:{AC|DC}? [{&lt;range&gt;|AUTO|MIN|MAX|DEF} [, {&lt;resolution&gt;|MIN|MAX|DEF}]]</t>
  </si>
  <si>
    <t>MEASure:DIODe?</t>
  </si>
  <si>
    <t>MEASure:{FREQuency|PERiod}? [{&lt;range&gt;|MIN|MAX|DEF} [, {&lt;resolution&gt;|MIN|MAX|DEF}]]</t>
  </si>
  <si>
    <t>MEASure:{RESistance|FRESistance}? [{&lt;range&gt;|AUTO|MIN|MAX|DEF} [, {&lt;resolution&gt;|MIN|MAX|DEF}]]</t>
  </si>
  <si>
    <t>MEASure[:VOLTage]:{AC|DC}? [{&lt;range&gt;|AUTO|MIN|MAX|DEF} [, {&lt;resolution&gt;|MIN|MAX|DEF}]]</t>
  </si>
  <si>
    <t>MEASure[:VOLTage][:DC]:RATio? [{&lt;range&gt;|AUTO|MIN|MAX|DEF} [, {&lt;resolution&gt;|MIN|MAX|DEF}]]</t>
  </si>
  <si>
    <t>MEASure:TEMPerature? [{FRTD|RTD|FTHermistor|THERmistor|TCouple|DEFault} [, {&lt;type&gt;|DEFault} 
[,1 ,{&lt;resolution&gt;|MIN|MAX|DEF}]]]]</t>
  </si>
  <si>
    <t>[SENSe:]FUNCtion[:ON] "&lt;function&gt;"</t>
  </si>
  <si>
    <t>[SENSe:]FUNCtion[:ON]?</t>
  </si>
  <si>
    <t>[SENSe:]VOLTage:AC:BANDwidth {&lt;filter&gt;|MIN|MAX|DEF}</t>
  </si>
  <si>
    <t>[SENSe:]VOLTage:AC:BANDwidth? [{MIN|MAX|DEF}]</t>
  </si>
  <si>
    <t>[SENSe:]VOLTage:{AC|DC}:NULL[:STATe] {OFF|ON}</t>
  </si>
  <si>
    <t>[SENSe:]VOLTage:{AC|DC}:NULL[:STATe]?</t>
  </si>
  <si>
    <t>[SENSe:]VOLTage:{AC|DC}:NULL:VALue {&lt;value&gt;|MIN|MAX|DEF}</t>
  </si>
  <si>
    <t>[SENSe:]VOLTage:{AC|DC}:NULL:VALue? [{MIN|MAX|DEF}]</t>
  </si>
  <si>
    <t>[SENSe:]VOLTage:{AC|DC}:NULL:VALue:AUTO {OFF|ON}</t>
  </si>
  <si>
    <t>[SENSe:]VOLTage:{AC|DC}:NULL:VALue:AUTO?</t>
  </si>
  <si>
    <t>[SENSe:]VOLTage:{AC|DC}:RANGe {&lt;range&gt;|MIN|MAX|DEF}</t>
  </si>
  <si>
    <t>[SENSe:]VOLTage:{AC|DC}:RANGe? [{MIN|MAX|DEF}]</t>
  </si>
  <si>
    <t>[SENSe:]VOLTage:{AC|DC}:RANGe:AUTO {OFF|ON|ONCE}</t>
  </si>
  <si>
    <t>[SENSe:]VOLTage:{AC|DC}:RANGe:AUTO?</t>
  </si>
  <si>
    <t>[SENSe:]VOLTage:AC:SECondary {"OFF"|"CALCulate:DATA"|"FREQuency"|"VOLTage[:DC]"}</t>
  </si>
  <si>
    <t>[SENSe:]VOLTage:AC:SECondary?</t>
  </si>
  <si>
    <t>[SENSe:]VOLTage[:DC]:APERture {&lt;seconds&gt;|MIN|MAX|DEF}</t>
  </si>
  <si>
    <t>[SENSe:]VOLTage[:DC]:APERture? [{MIN|MAX|DEF}]</t>
  </si>
  <si>
    <t>[SENSe:]VOLTage[:DC]:APERture:ENABled {OFF|ON}</t>
  </si>
  <si>
    <t>[SENSe:]VOLTage[:DC]:APERture:ENABled?</t>
  </si>
  <si>
    <t>[SENSe:]VOLTage[:DC]:IMPedance:AUTO {OFF|ON}</t>
  </si>
  <si>
    <t>[SENSe:]VOLTage[:DC]:IMPedance:AUTO?</t>
  </si>
  <si>
    <t>[SENSe:]VOLTage[:DC]:NPLC {&lt;PLCs&gt;|MIN|MAX|DEF}</t>
  </si>
  <si>
    <t>[SENSe:]VOLTage[:DC]:NPLC? [{MIN|MAX|DEF}]</t>
  </si>
  <si>
    <t>[SENSe:]VOLTage[:DC]:RATio:SECondary {"OFF"|"CALCulate:DATA"|"SENSe:DATA"}</t>
  </si>
  <si>
    <t>[SENSe:]VOLTage[:DC]:RATio:SECondary?</t>
  </si>
  <si>
    <t>[SENSe:]VOLTage[:DC]:RESolution {&lt;resolution&gt;|MIN|MAX|DEF}</t>
  </si>
  <si>
    <t>[SENSe:]VOLTage[:DC]:RESolution? [{MIN|MAX|DEF}]</t>
  </si>
  <si>
    <t>[SENSe:]VOLTage[:DC]:SECondary {"OFF"|"CALCulate:DATA"|"VOLTage:AC"|"PTPeak"}</t>
  </si>
  <si>
    <t>[SENSe:]VOLTage[:DC]:SECondary?</t>
  </si>
  <si>
    <t>[SENSe:]VOLTage[:DC]:ZERO:AUTO {OFF|ON|ONCE}</t>
  </si>
  <si>
    <t>[SENSe:]VOLTage[:DC]:ZERO:AUTO?</t>
  </si>
  <si>
    <t>Configuration Commands</t>
  </si>
  <si>
    <t>Measurement Commands</t>
  </si>
  <si>
    <t>Measurement Configuration Commands</t>
  </si>
  <si>
    <t>AC and DC Voltage and DC Ratio Configuration Commands</t>
  </si>
  <si>
    <t>2-Wire and 4-Wire Resistance Configuration Commands</t>
  </si>
  <si>
    <t>[SENSe:]{RESistance|FRESistance}:APERture {&lt;seconds&gt;|MIN|MAX|DEF}</t>
  </si>
  <si>
    <t>[SENSe:]{RESistance|FRESistance}:APERture? [{MIN|MAX|DEF}]</t>
  </si>
  <si>
    <t>[SENSe:]{RESistance|FRESistance}:APERture:ENABled {OFF|ON}</t>
  </si>
  <si>
    <t>[SENSe:]{RESistance|FRESistance}:APERture:ENABled?</t>
  </si>
  <si>
    <t>[SENSe:]{RESistance|FRESistance}:NPLC {&lt;PLCs&gt;|MIN|MAX|DEF}</t>
  </si>
  <si>
    <t>[SENSe:]{RESistance|FRESistance}:NPLC? [{MIN|MAX|DEF}]</t>
  </si>
  <si>
    <t>[SENSe:]{RESistance|FRESistance}:NULL[:STATe] {OFF|ON}</t>
  </si>
  <si>
    <t>[SENSe:]{RESistance|FRESistance}:NULL[:STATe]?</t>
  </si>
  <si>
    <t>[SENSe:]{RESistance|FRESistance}:NULL:VALue {&lt;value&gt;|MIN|MAX|DEF}</t>
  </si>
  <si>
    <t>[SENSe:]{RESistance|FRESistance}:NULL:VALue? [{MIN|MAX|DEF}]</t>
  </si>
  <si>
    <t>[SENSe:]{RESistance|FRESistance}:NULL:VALue:AUTO {OFF|ON}</t>
  </si>
  <si>
    <t>[SENSe:]{RESistance|FRESistance}:NULL:VALue:AUTO?</t>
  </si>
  <si>
    <t>[SENSe:]{RESistance|FRESistance}:OCOMpensated {OFF|ON}</t>
  </si>
  <si>
    <t>[SENSe:]{RESistance|FRESistance}:OCOMpensated?</t>
  </si>
  <si>
    <t>[SENSe:]{RESistance|FRESistance}:POWer:LIMit[:STATe] {OFF|ON}</t>
  </si>
  <si>
    <t>[SENSe:]{RESistance|FRESistance}:POWer:LIMit[:STATe]?</t>
  </si>
  <si>
    <t>[SENSe:]{RESistance|FRESistance}:RANGe {&lt;range&gt;|MIN|MAX|DEF}</t>
  </si>
  <si>
    <t>[SENSe:]{RESistance|FRESistance}:RANGe? [{MIN|MAX|DEF}]</t>
  </si>
  <si>
    <t>[SENSe:]{RESistance|FRESistance}:RANGe:AUTO {OFF|ON|ONCE}</t>
  </si>
  <si>
    <t>[SENSe:]{RESistance|FRESistance}:RANGe:AUTO?</t>
  </si>
  <si>
    <t>[SENSe:]{RESistance|FRESistance}:RESolution {&lt;resolution&gt;|MIN|MAX|DEF}</t>
  </si>
  <si>
    <t>[SENSe:]{RESistance|FRESistance}:RESolution? [{MIN|MAX|DEF}]</t>
  </si>
  <si>
    <t>[SENSe:]{FRESistance|RESistance}:SECondary {"OFF"|"CALCulate:DATA"}</t>
  </si>
  <si>
    <t>[SENSe:]{FRESistance|RESistance}:SECondary?</t>
  </si>
  <si>
    <t>[SENSe:]RESistance:ZERO:AUTO {OFF|ON|ONCE}</t>
  </si>
  <si>
    <t>[SENSe:]RESistance:ZERO:AUTO?</t>
  </si>
  <si>
    <t>CONFigure:CURRent:{AC|DC} [{&lt;range&gt;|AUTO|MIN|MAX|DEF} [, {&lt;resolution&gt;|MIN|MAX|DEF}]]</t>
  </si>
  <si>
    <t>[SENSe:]CURRent:AC:BANDwidth {&lt;filter&gt;|MIN|MAX|DEF}</t>
  </si>
  <si>
    <t>[SENSe:]CURRent:AC:BANDwidth? [{MIN|MAX|DEF}]</t>
  </si>
  <si>
    <t>[SENSe:]CURRent:{AC|DC}:NULL[:STATe] {OFF|ON}</t>
  </si>
  <si>
    <t>[SENSe:]CURRent:{AC|DC}:NULL[:STATe]?</t>
  </si>
  <si>
    <t>[SENSe:]CURRent:{AC|DC}:NULL:VALue {&lt;value&gt;|MIN|MAX|DEF}</t>
  </si>
  <si>
    <t>[SENSe:]CURRent:{AC|DC}:NULL:VALue? [{MIN|MAX|DEF}]</t>
  </si>
  <si>
    <t>[SENSe:]CURRent:{AC|DC}:NULL:VALue:AUTO {OFF|ON}</t>
  </si>
  <si>
    <t>[SENSe:]CURRent:{AC|DC}:NULL:VALue:AUTO?</t>
  </si>
  <si>
    <t>[SENSe:]CURRent:{AC|DC}:RANGe {&lt;range&gt;|MIN|MAX|DEF}</t>
  </si>
  <si>
    <t>[SENSe:]CURRent:{AC|DC}:RANGe? [{MIN|MAX|DEF}]</t>
  </si>
  <si>
    <t>[SENSe:]CURRent:{AC|DC}:RANGe:AUTO {OFF|ON|ONCE}</t>
  </si>
  <si>
    <t>[SENSe:]CURRent:{AC|DC}:RANGe:AUTO?</t>
  </si>
  <si>
    <t>[SENSe:]CURRent:{AC|DC}:TERMinals {3|10}</t>
  </si>
  <si>
    <t>[SENSe:]CURRent:{AC|DC}:TERMinals?</t>
  </si>
  <si>
    <t>[SENSe:]CURRent:AC:SECondary {"OFF"|"CALCulate:DATA"|"FREQuency"|"CURRent[:DC]"}</t>
  </si>
  <si>
    <t>[SENSe:]CURRent:AC:SECondary?</t>
  </si>
  <si>
    <t>[SENSe:]CURRent[:DC]:APERture {&lt;seconds&gt;|MIN|MAX|DEF}</t>
  </si>
  <si>
    <t>[SENSe:]CURRent[:DC]:APERture? [{MIN|MAX|DEF}]</t>
  </si>
  <si>
    <t>[SENSe:]CURRent[:DC]:APERture:ENABled {OFF|ON}</t>
  </si>
  <si>
    <t>[SENSe:]CURRent[:DC]:APERture:ENABled?</t>
  </si>
  <si>
    <t>[SENSe:]CURRent[:DC]:NPLC {&lt;PLCs&gt;|MIN|MAX|DEF}</t>
  </si>
  <si>
    <t>[SENSe:]CURRent[:DC]:NPLC? [{MIN|MAX|DEF}]</t>
  </si>
  <si>
    <t>[SENSe:]CURRent[:DC]:RESolution {&lt;resolution&gt;|MIN|MAX|DEF}</t>
  </si>
  <si>
    <t>[SENSe:]CURRent[:DC]:RESolution? [{MIN|MAX|DEF}]</t>
  </si>
  <si>
    <t>[SENSe:]CURRent[:DC]:SECondary {"OFF"|"CALCulate:DATA"|"CURRent:AC"|"PTPeak"}</t>
  </si>
  <si>
    <t>[SENSe:]CURRent[:DC]:SECondary?</t>
  </si>
  <si>
    <t>[SENSe:]CURRent[:DC]:ZERO:AUTO {OFF|ON|ONCE}</t>
  </si>
  <si>
    <t>[SENSe:]CURRent[:DC]:ZERO:AUTO?</t>
  </si>
  <si>
    <t>[SENSe:]CURRent:SWITch:MODE {FAST|CONTinuous}</t>
  </si>
  <si>
    <t>[SENSe:]CURRent:SWITch:MODE?</t>
  </si>
  <si>
    <t>AC and DC Current Configuration Commands</t>
  </si>
  <si>
    <t>Capacitance Configuration Commands</t>
  </si>
  <si>
    <t>CONFigure:CAPacitance [{&lt;range&gt;|AUTO|MIN|MAX|DEF} [, {&lt;resolution&gt;|MIN|MAX|DEF}]]</t>
  </si>
  <si>
    <t>[SENSe:]CAPacitance:NULL[:STATe] {OFF|ON}</t>
  </si>
  <si>
    <t>[SENSe:]CAPacitance:NULL[:STATe]?</t>
  </si>
  <si>
    <t>[SENSe:]CAPacitance:NULL:VALue {&lt;value&gt;|MIN|MAX|DEF}</t>
  </si>
  <si>
    <t>[SENSe:]CAPacitance:NULL:VALue? [{MIN|MAX|DEF}]</t>
  </si>
  <si>
    <t>[SENSe:]CAPacitance:NULL:VALue:AUTO {OFF|ON}</t>
  </si>
  <si>
    <t>[SENSe:]CAPacitance:NULL:VALue:AUTO?</t>
  </si>
  <si>
    <t>[SENSe:]CAPacitance:RANGe {&lt;range&gt;|MIN|MAX|DEF}</t>
  </si>
  <si>
    <t>[SENSe:]CAPacitance:RANGe? [{MIN|MAX|DEF}]</t>
  </si>
  <si>
    <t>[SENSe:]CAPacitance:RANGe:AUTO {OFF|ON|ONCE}</t>
  </si>
  <si>
    <t>[SENSe:]CAPacitance:RANGe:AUTO?</t>
  </si>
  <si>
    <t>[SENSe:]CAPacitance:SECondary{"OFF"|"CALCulate:DATA"}</t>
  </si>
  <si>
    <t>[SENSe:]CAPacitance:SECondary?</t>
  </si>
  <si>
    <t>Temperature Configuration Commands</t>
  </si>
  <si>
    <t>[SENSe:]TEMPerature:APERture {&lt;seconds&gt;|MIN|MAX|DEF}</t>
  </si>
  <si>
    <t>[SENSe:]TEMPerature:APERture? [{MIN|MAX|DEF}]</t>
  </si>
  <si>
    <t>[SENSe:]TEMPerature:APERture:ENABled {OFF|ON}</t>
  </si>
  <si>
    <t>[SENSe:]TEMPerature:APERture:ENABled?</t>
  </si>
  <si>
    <t>[SENSe:]TEMPerature:NPLC {&lt;PLCs&gt;|MIN|MAX|DEF}</t>
  </si>
  <si>
    <t>[SENSe:]TEMPerature:NPLC? [{MIN|MAX|DEF}]</t>
  </si>
  <si>
    <t>[SENSe:]TEMPerature:NULL[:STATe] {OFF|ON}</t>
  </si>
  <si>
    <t>[SENSe:]TEMPerature:NULL[:STATe]?</t>
  </si>
  <si>
    <t>[SENSe:]TEMPerature:NULL:VALue {&lt;value&gt;|MIN|MAX|DEF}</t>
  </si>
  <si>
    <t>[SENSe:]TEMPerature:NULL:VALue? [{MIN|MAX|DEF}]</t>
  </si>
  <si>
    <t>[SENSe:]TEMPerature:NULL:VALue:AUTO {OFF|ON}</t>
  </si>
  <si>
    <t>[SENSe:]TEMPerature:NULL:VALue:AUTO?</t>
  </si>
  <si>
    <t>[SENSe:]TEMPerature:SECondary {"OFF"|"CALCulate:DATA"|"SENSe:DATA"}</t>
  </si>
  <si>
    <t>[SENSe:]TEMPerature:SECondary?</t>
  </si>
  <si>
    <t>[SENSe:]TEMPerature:TRANsducer:{FRTD|RTD}:OCOMpensated {OFF|ON}</t>
  </si>
  <si>
    <t>[SENSe:]TEMPerature:TRANsducer:{FRTD|RTD}:OCOMpensated?</t>
  </si>
  <si>
    <t>[SENSe:]TEMPerature:TRANsducer:{FRTD|RTD}:POWer:LIMit[:STATe] {OFF|ON}</t>
  </si>
  <si>
    <t>[SENSe:]TEMPerature:TRANsducer:{FRTD|RTD}:POWer:LIMit[:STATe]?</t>
  </si>
  <si>
    <t>[SENSe:]TEMPerature:TRANsducer:{FRTD|RTD}:RESistance[:REFerence] {&lt;reference&gt;|MIN|MAX|DEF}</t>
  </si>
  <si>
    <t>[SENSe:]TEMPerature:TRANsducer:{FRTD|RTD}:RESistance[:REFerence]? [{MIN|MAX|DEF}]</t>
  </si>
  <si>
    <t>[SENSe:]TEMPerature:TRANsducer:{FTHermistor|THERmistor}:POWer:LIMit[:STATe] {OFF|ON}</t>
  </si>
  <si>
    <t>[SENSe:]TEMPerature:TRANsducer:{FTHermistor|THERmistor}:POWer:LIMit[:STATe]?</t>
  </si>
  <si>
    <t>[SENSe:]TEMPerature:TRANsducer:TCouple:CHECk {OFF|ON}</t>
  </si>
  <si>
    <t>[SENSe:]TEMPerature:TRANsducer:TCouple:CHECk?</t>
  </si>
  <si>
    <t>[SENSe:]TEMPerature:TRANsducer:TCouple:RJUNction {&lt;temperature&gt;|MIN|MAX|DEF}</t>
  </si>
  <si>
    <t>[SENSe:]TEMPerature:TRANsducer:TCouple:RJUNction? [{MIN|MAX|DEF}]</t>
  </si>
  <si>
    <t>[SENSe:]TEMPerature:TRANsducer:TCouple:RJUNction:OFFSet:ADJust {&lt;temperature&gt;|MIN|MAX|DEF}</t>
  </si>
  <si>
    <t>[SENSe:]TEMPerature:TRANsducer:TCouple:RJUNction:OFFSet:ADJust? [{MIN|MAX|DEF}]</t>
  </si>
  <si>
    <t>[SENSe:]TEMPerature:TRANsducer:TCouple:RJUNction:TYPE {INTernal|FIXed}</t>
  </si>
  <si>
    <t>[SENSe:]TEMPerature:TRANsducer:TCouple:RJUNction:TYPE?</t>
  </si>
  <si>
    <t>[SENSe:]TEMPerature:TRANsducer:TCouple:TYPE {E|J|K|N|R|T}</t>
  </si>
  <si>
    <t>[SENSe:]TEMPerature:TRANsducer:TCouple:TYPE?</t>
  </si>
  <si>
    <t>[SENSe:]TEMPerature:TRANsducer:TYPE {FRTD|RTD|FTHermistor|THERmistor|TCouple}</t>
  </si>
  <si>
    <t>[SENSe:]TEMPerature:TRANsducer:TYPE?</t>
  </si>
  <si>
    <t>[SENSe:]TEMPerature:ZERO:AUTO {OFF|ON|ONCE}</t>
  </si>
  <si>
    <t>[SENSe:]TEMPerature:ZERO:AUTO?</t>
  </si>
  <si>
    <t>UNIT:TEMPerature {C|F|K}</t>
  </si>
  <si>
    <t>UNIT:TEMPerature?</t>
  </si>
  <si>
    <t>CONFigure:{FREQuency|PERiod} [{&lt;range&gt;|MIN|MAX|DEF} [, {&lt;resolution&gt;|MIN|MAX|DEF}]]</t>
  </si>
  <si>
    <t>[SENSe:]{FREQuency|PERiod}:APERture {&lt;seconds&gt;|MIN|MAX|DEF}</t>
  </si>
  <si>
    <t>[SENSe:]{FREQuency|PERiod}:APERture? [{MIN|MAX|DEF}]</t>
  </si>
  <si>
    <t>[SENSe:]{FREQuency|PERiod}:NULL[:STATe] {OFF|ON}</t>
  </si>
  <si>
    <t>[SENSe:]{FREQuency|PERiod}:NULL[:STATe]?</t>
  </si>
  <si>
    <t>[SENSe:]{FREQuency|PERiod}:NULL:VALue {&lt;value&gt;|MIN|MAX|DEF}</t>
  </si>
  <si>
    <t>[SENSe:]{FREQuency|PERiod}:NULL:VALue? [{MIN|MAX|DEF}]</t>
  </si>
  <si>
    <t>[SENSe:]{FREQuency|PERiod}:NULL:VALue:AUTO {OFF|ON}</t>
  </si>
  <si>
    <t>[SENSe:]{FREQuency|PERiod}:NULL:VALue:AUTO?</t>
  </si>
  <si>
    <t>[SENSe:]{FREQuency|PERiod}:RANGe:LOWer {&lt;freq&gt;|MIN|MAX|DEF}</t>
  </si>
  <si>
    <t>[SENSe:]{FREQuency|PERiod}:RANGe:LOWer?</t>
  </si>
  <si>
    <t>[SENSe:]{FREQuency|PERiod}:TIMeout:AUTO {OFF|ON}</t>
  </si>
  <si>
    <t>[SENSe:]{FREQuency|PERiod}:VOLTage:RANGe {&lt;range&gt;|MIN|MAX|DEF}</t>
  </si>
  <si>
    <t>[SENSe:]{FREQuency|PERiod}:VOLTage:RANGe? [{MIN|MAX|DEF}]</t>
  </si>
  <si>
    <t>[SENSe:]{FREQuency|PERiod}:VOLTage:RANGe:AUTO {OFF|ON|ONCE}</t>
  </si>
  <si>
    <t>[SENSe:]{FREQuency|PERiod}:VOLTage:RANGe:AUTO?</t>
  </si>
  <si>
    <t>[SENSe:]FREQuency:SECondary {"OFF"|"CALCulate:DATA"|"PERiod"|"VOLTage:AC"}</t>
  </si>
  <si>
    <t>[SENSe:]FREQuency:SECondary?</t>
  </si>
  <si>
    <t>[SENSe:]PERiod:SECondary {"OFF"|"CALCulate:DATA"|"FREQuency"|"VOLTage:AC"}</t>
  </si>
  <si>
    <t>[SENSe:]PERiod:SECondary?</t>
  </si>
  <si>
    <t>Frequency/Period Configuration Commands</t>
  </si>
  <si>
    <t>Continuity and Diode Configuration Commands</t>
  </si>
  <si>
    <t>Secondary Measurement Commands</t>
  </si>
  <si>
    <t>[SENSe:]CAPacitance:SECondary {"OFF"|"CALCulate:DATA"}</t>
  </si>
  <si>
    <t>[SENSe:]DATA2?</t>
  </si>
  <si>
    <t>[SENSe:]DATA2:CLEar[:IMMediate]</t>
  </si>
  <si>
    <t>Miscellaneous Configuration Commands</t>
  </si>
  <si>
    <t>ROUTe:TERMinals?</t>
  </si>
  <si>
    <t>Sample Commands</t>
  </si>
  <si>
    <t>SAMPle:COUNt {&lt;count&gt;|MIN|MAX|DEF}</t>
  </si>
  <si>
    <t>SAMPle:COUNt? [{MIN|MAX|DEF}]</t>
  </si>
  <si>
    <t>SAMPle:COUNt:PRETrigger {&lt;count&gt;|MIN|MAX|DEF}</t>
  </si>
  <si>
    <t>SAMPle:COUNt:PRETrigger? [{MIN|MAX|DEF}]</t>
  </si>
  <si>
    <t>SAMPle:SOURce {IMMediate|TIMer}</t>
  </si>
  <si>
    <t>SAMPle:SOURce?</t>
  </si>
  <si>
    <t>SAMPle:TIMer {&lt;interval&gt;|MIN|MAX|DEF}</t>
  </si>
  <si>
    <t>SAMPle:TIMer? [{MIN|MAX|DEF}]</t>
  </si>
  <si>
    <t>Triggering Commands</t>
  </si>
  <si>
    <t>ABORt</t>
  </si>
  <si>
    <t>INITiate[:IMMediate]</t>
  </si>
  <si>
    <t>OUTPut:TRIGger:SLOPe {POSitive|NEGative}</t>
  </si>
  <si>
    <t>OUTPut:TRIGger:SLOPe?</t>
  </si>
  <si>
    <t>READ?</t>
  </si>
  <si>
    <t>*TRG</t>
  </si>
  <si>
    <t>TRIGger:COUNt {&lt;count&gt;|MIN|MAX|DEF|INFinity}</t>
  </si>
  <si>
    <t>TRIGger:COUNt? [{MIN|MAX|DEF}]</t>
  </si>
  <si>
    <t>TRIGger:DELay {&lt;seconds&gt;|MIN|MAX|DEF}</t>
  </si>
  <si>
    <t>TRIGger:DELay? [{MIN|MAX|DEF}]</t>
  </si>
  <si>
    <t>TRIGger:DELay:AUTO {OFF|ON}</t>
  </si>
  <si>
    <t>TRIGger:DELay:AUTO?</t>
  </si>
  <si>
    <t>TRIGger:LEVel {&lt;level&gt;|MIN|MAX|DEF}</t>
  </si>
  <si>
    <t>TRIGger:LEVel? [{MIN|MAX|DEF}]</t>
  </si>
  <si>
    <t>TRIGger:SLOPe {POSitive|NEGative}</t>
  </si>
  <si>
    <t>TRIGger:SLOPe?</t>
  </si>
  <si>
    <t>TRIGger:SOURce {IMMediate|EXTernal|BUS|INTernal}</t>
  </si>
  <si>
    <t>TRIGger:SOURce?</t>
  </si>
  <si>
    <t>Overall</t>
  </si>
  <si>
    <t>CALCulate:CLEar[:IMMediate]</t>
  </si>
  <si>
    <t>Histogram</t>
  </si>
  <si>
    <t>CALCulate:TRANsform:HISTogram:ALL?</t>
  </si>
  <si>
    <t>CALCulate:TRANsform:HISTogram:CLEar[:IMMediate]</t>
  </si>
  <si>
    <t>CALCulate:TRANsform:HISTogram:COUNt?</t>
  </si>
  <si>
    <t>CALCulate:TRANsform:HISTogram:DATA?</t>
  </si>
  <si>
    <t>CALCulate:TRANsform:HISTogram:POINts {&lt;value&gt;|MIN|MAX|DEF}</t>
  </si>
  <si>
    <t>CALCulate:TRANsform:HISTogram:POINts? [{MIN|MAX|DEF}]</t>
  </si>
  <si>
    <t>CALCulate:TRANsform:HISTogram:RANGe:AUTO {OFF|ON}</t>
  </si>
  <si>
    <t>CALCulate:TRANsform:HISTogram:RANGe:AUTO?</t>
  </si>
  <si>
    <t>CALCulate:TRANsform:HISTogram:RANGe:{LOWer|UPPer} {&lt;value&gt;|MIN|MAX|DEF}</t>
  </si>
  <si>
    <t>CALCulate:TRANsform:HISTogram:RANGe:{LOWer|UPPer}? [{MIN|MAX|DEF}]</t>
  </si>
  <si>
    <t>CALCulate:TRANsform:HISTogram[:STATe] {OFF|ON}</t>
  </si>
  <si>
    <t>CALCulate:TRANsform:HISTogram[:STATe]?</t>
  </si>
  <si>
    <t>Limit Testing</t>
  </si>
  <si>
    <t>CALCulate:LIMit:CLEar[:IMMediate]</t>
  </si>
  <si>
    <t>CALCulate:LIMit:{LOWer|UPPer}[:DATA] {&lt;value&gt;|MIN|MAX|DEF}</t>
  </si>
  <si>
    <t>CALCulate:LIMit:{LOWer|UPPer}[:DATA]? [{MIN|MAX|DEF}]</t>
  </si>
  <si>
    <t>CALCulate:LIMit[:STATe] {OFF|ON}</t>
  </si>
  <si>
    <t>CALCulate:LIMit[:STATe]?</t>
  </si>
  <si>
    <t>Scaling</t>
  </si>
  <si>
    <t>CALCulate:SCALe:DB:REFerence {&lt;reference&gt;|MIN|MAX|DEF}</t>
  </si>
  <si>
    <t>CALCulate:SCALe:DB:REFerence? [{MIN|MAX|DEF}]</t>
  </si>
  <si>
    <t>CALCulate:SCALe:DBM:REFerence {&lt;reference&gt;|MIN|MAX|DEF}</t>
  </si>
  <si>
    <t>CALCulate:SCALe:DBM:REFerence? [{MIN|MAX|DEF}]</t>
  </si>
  <si>
    <t>CALCulate:SCALe:FUNCtion {DB|DBM|PCT|SCALe}</t>
  </si>
  <si>
    <t>CALCulate:SCALe:FUNCtion?</t>
  </si>
  <si>
    <t>CALCulate:SCALe:GAIN {&lt;gain&gt;|MIN|MAX|DEF}</t>
  </si>
  <si>
    <t>CALCulate:SCALe:GAIN? [{MIN|MAX|DEF}]</t>
  </si>
  <si>
    <t>CALCulate:SCALe:OFFSet {&lt;offset&gt;|MIN|MAX|DEF}</t>
  </si>
  <si>
    <t>CALCulate:SCALe:OFFSet? [{MIN|MAX|DEF}]</t>
  </si>
  <si>
    <t>CALCulate:SCALe:REFerence:AUTO {OFF|ON}</t>
  </si>
  <si>
    <t>CALCulate:SCALe:REFerence:AUTO?</t>
  </si>
  <si>
    <t>CALCulate:SCALe:REFerence {&lt;reference&gt;|MIN|MAX|DEF}</t>
  </si>
  <si>
    <t>CALCulate:SCALe:REFerence? [{MIN|MAX|DEF}]</t>
  </si>
  <si>
    <t>CALCulate:SCALe[:STATe] {OFF|ON}</t>
  </si>
  <si>
    <t>CALCulate:SCALe[:STATe]?</t>
  </si>
  <si>
    <t>CALCulate:SCALe:UNIT &lt;quoted_string&gt;</t>
  </si>
  <si>
    <t>CALCulate:SCALe:UNIT?</t>
  </si>
  <si>
    <t>CALCulate:SCALe:UNIT:STATe {OFF|ON}</t>
  </si>
  <si>
    <t>CALCulate:SCALe:UNIT:STATe?</t>
  </si>
  <si>
    <t>Statistics</t>
  </si>
  <si>
    <t>CALCulate:AVERage:ALL?</t>
  </si>
  <si>
    <t>CALCulate:AVERage:AVERage?</t>
  </si>
  <si>
    <t>CALCulate:AVERage:CLEar[:IMMediate]</t>
  </si>
  <si>
    <t>CALCulate:AVERage:COUNt?</t>
  </si>
  <si>
    <t>CALCulate:AVERage:MAXimum?</t>
  </si>
  <si>
    <t>CALCulate:AVERage:MINimum?</t>
  </si>
  <si>
    <t>CALCulate:AVERage:PTPeak?</t>
  </si>
  <si>
    <t>CALCulate:AVERage:SDEViation?</t>
  </si>
  <si>
    <t>CALCulate:AVERage[:STATe] {OFF|ON}</t>
  </si>
  <si>
    <t>CALCulate:AVERage[:STATe]?</t>
  </si>
  <si>
    <t>Smoothing</t>
  </si>
  <si>
    <t>CALCulate:SMOothing:RESPonse {SLOW|MEDium|FAST}</t>
  </si>
  <si>
    <t>CALCulate:SMOothing:RESPonse?</t>
  </si>
  <si>
    <t>CALCulate:SMOothing[:STATe] {OFF|ON}</t>
  </si>
  <si>
    <t>CALCulate:SMOothing[:STATe]?</t>
  </si>
  <si>
    <t>Trend Chart</t>
  </si>
  <si>
    <t>CALCulate:TCHart[:STATe] {OFF|ON}</t>
  </si>
  <si>
    <t>CALCulate:TCHart[:STATe]?</t>
  </si>
  <si>
    <t>Reading Memory Commands</t>
  </si>
  <si>
    <t>DATA:LAST?</t>
  </si>
  <si>
    <t>DATA:POINts:EVENt:THReshold &lt;count&gt;</t>
  </si>
  <si>
    <t>DATA:POINts:EVENt:THReshold?</t>
  </si>
  <si>
    <t>DATA:POINts?</t>
  </si>
  <si>
    <t>DATA:REMove? &lt;num_readings&gt; [,WAIT]</t>
  </si>
  <si>
    <t>FETCh?</t>
  </si>
  <si>
    <t>R? [&lt;max_readings&gt;]</t>
  </si>
  <si>
    <t>Calibration Commands</t>
  </si>
  <si>
    <t>*CAL?</t>
  </si>
  <si>
    <t>CALibration:ADC?</t>
  </si>
  <si>
    <t>CALibration[:ALL]?</t>
  </si>
  <si>
    <t>CALibration:COUNt?</t>
  </si>
  <si>
    <t>CALibration:DATE?</t>
  </si>
  <si>
    <t>CALibration:SECure:CODE &lt;new_code&gt;</t>
  </si>
  <si>
    <t>CALibration:SECure:STATe {OFF|ON} [, &lt;code&gt;]</t>
  </si>
  <si>
    <t>CALibration:SECure:STATe?</t>
  </si>
  <si>
    <t>CALibration:STORe</t>
  </si>
  <si>
    <t>CALibration:STRing "&lt;string&gt;"</t>
  </si>
  <si>
    <t>CALibration:STRing?</t>
  </si>
  <si>
    <t>CALibration:TEMPerature?</t>
  </si>
  <si>
    <t>CALibration:TIME?</t>
  </si>
  <si>
    <t>CALibration:VALue &lt;value&gt;</t>
  </si>
  <si>
    <t>CALibration:VALue?</t>
  </si>
  <si>
    <t>SYSTem:ACALibration:DATE?</t>
  </si>
  <si>
    <t>SYSTem:ACALibration:TEMPerature?</t>
  </si>
  <si>
    <t>SYSTem:ACALibration:TIME?</t>
  </si>
  <si>
    <t>State Storage and Preferences Commands</t>
  </si>
  <si>
    <t>*LRN?</t>
  </si>
  <si>
    <t>MMEMory:LOAD:PREFerences &lt;file&gt;</t>
  </si>
  <si>
    <t>MMEMory:LOAD:STATe &lt;file&gt;</t>
  </si>
  <si>
    <t>MMEMory:STORe:PREFerences &lt;file&gt;</t>
  </si>
  <si>
    <t>MMEMory:STORe:STATe &lt;file&gt;</t>
  </si>
  <si>
    <t>MMEMory:STATe:RECall:AUTO {OFF|ON}</t>
  </si>
  <si>
    <t>MMEMory:STATe:RECall:AUTO?</t>
  </si>
  <si>
    <t>MMEMory:STATe:RECall:SELect &lt;file&gt;</t>
  </si>
  <si>
    <t>MMEMory:STATe:RECall:SELect?</t>
  </si>
  <si>
    <t>MMEMory:STATe:VALid? &lt;file&gt;</t>
  </si>
  <si>
    <t>*RCL {0|1|2|3|4}</t>
  </si>
  <si>
    <t>*SAV {0|1|2|3|4}</t>
  </si>
  <si>
    <t>General Purpose File Management Commands</t>
  </si>
  <si>
    <t>MMEMory:CATalog[:ALL]? [&lt;folder&gt;[&lt;filespec&gt;]]</t>
  </si>
  <si>
    <t>MMEMory:CDIRectory &lt;folder&gt;</t>
  </si>
  <si>
    <t>MMEMory:CDIRectory?</t>
  </si>
  <si>
    <t>MMEMory:COPY &lt;file1&gt;, &lt;file2&gt;</t>
  </si>
  <si>
    <t>MMEMory:DELete {&lt;file&gt;|&lt;filespec&gt;}</t>
  </si>
  <si>
    <t>MMEMory:MDIRectory &lt;folder&gt;</t>
  </si>
  <si>
    <t>MMEMory:MOVE &lt;file1&gt;, &lt;file2&gt;</t>
  </si>
  <si>
    <t>MMEMory:RDIRectory &lt;folder&gt;</t>
  </si>
  <si>
    <t>Data Transfer Commands</t>
  </si>
  <si>
    <t>MMEMory:DOWNload:DATA &lt;binary_block&gt;</t>
  </si>
  <si>
    <t>MMEMory:DOWNload:FNAMe &lt;file&gt;</t>
  </si>
  <si>
    <t>MMEMory:DOWNload:FNAMe?</t>
  </si>
  <si>
    <t>MMEMory:FORMat:READing:CSEParator {COMMa|SEMicolon|TAB}</t>
  </si>
  <si>
    <t>MMEMory:FORMat:READing:CSEParator?</t>
  </si>
  <si>
    <t>MMEMory:FORMat:READing:INFormation {OFF|ON}</t>
  </si>
  <si>
    <t>MMEMory:FORMat:READing:INFormation?</t>
  </si>
  <si>
    <t>MMEMory:FORMat:READing:RLIMit {OFF|ON}</t>
  </si>
  <si>
    <t>MMEMory:FORMat:READing:RLIMit?</t>
  </si>
  <si>
    <t>MMEMory:STORe:DATA RDG_STORE, &lt;file&gt;</t>
  </si>
  <si>
    <t>IEEE-488 Commands</t>
  </si>
  <si>
    <t>*CLS</t>
  </si>
  <si>
    <t>*ESE &lt;enable_value&gt;</t>
  </si>
  <si>
    <t>*ESE?</t>
  </si>
  <si>
    <t>*ESR?</t>
  </si>
  <si>
    <t>*IDN?</t>
  </si>
  <si>
    <t>*OPC</t>
  </si>
  <si>
    <t>*OPC?</t>
  </si>
  <si>
    <t>*OPT?</t>
  </si>
  <si>
    <t>*PSC {0|1}</t>
  </si>
  <si>
    <t>*PSC?</t>
  </si>
  <si>
    <t>*RST</t>
  </si>
  <si>
    <t>*SRE &lt;enable_value&gt;</t>
  </si>
  <si>
    <t>*SRE?</t>
  </si>
  <si>
    <t>*STB?</t>
  </si>
  <si>
    <t>*TST?</t>
  </si>
  <si>
    <t>*WAI</t>
  </si>
  <si>
    <t>Format Subsystem</t>
  </si>
  <si>
    <t>FORMat:BORDer {NORMal|SWAPped}</t>
  </si>
  <si>
    <t>FORMat:BORDer?</t>
  </si>
  <si>
    <t>FORMat[:DATA] {ASCii|REAL} [, &lt;length&gt;]</t>
  </si>
  <si>
    <t>FORMat[:DATA]?</t>
  </si>
  <si>
    <t>System-Related Commands</t>
  </si>
  <si>
    <t>DISPlay[:STATe] {OFF|ON}</t>
  </si>
  <si>
    <t>DISPlay[:STATe]?</t>
  </si>
  <si>
    <t>DISPlay:TEXT:CLEar</t>
  </si>
  <si>
    <t>DISPlay:TEXT[:DATA] "&lt;string&gt;"</t>
  </si>
  <si>
    <t>DISPlay:TEXT[:DATA]?</t>
  </si>
  <si>
    <t>DISPlay:VIEW {NUMeric|HISTogram|TCHart|METer}</t>
  </si>
  <si>
    <t>DISPlay:VIEW?</t>
  </si>
  <si>
    <t>HCOPy:SDUMp:DATA:FORMat {PNG|BMP}</t>
  </si>
  <si>
    <t>HCOPy:SDUMp:DATA:FORMat?</t>
  </si>
  <si>
    <t>HCOPy:SDUMp:DATA?</t>
  </si>
  <si>
    <t>LXI:IDENtify[:STATe] {OFF|ON}</t>
  </si>
  <si>
    <t>LXI:IDENtify[:STATe]?</t>
  </si>
  <si>
    <t>LXI:MDNS:ENABle {OFF|ON}</t>
  </si>
  <si>
    <t>LXI:MDNS:ENABle?</t>
  </si>
  <si>
    <t>LXI:MDNS:HNAMe[:RESolved]?</t>
  </si>
  <si>
    <t>LXI:MDNS:SNAMe:DESired "&lt;name&gt;"</t>
  </si>
  <si>
    <t>LXI:MDNS:SNAMe:DESired?</t>
  </si>
  <si>
    <t>LXI:MDNS:SNAMe[:RESolved]?</t>
  </si>
  <si>
    <t>LXI:RESet</t>
  </si>
  <si>
    <t>LXI:RESTart</t>
  </si>
  <si>
    <t>SYSTem:BEEPer[:IMMediate]</t>
  </si>
  <si>
    <t>SYSTem:BEEPer:STATe {OFF|ON}</t>
  </si>
  <si>
    <t>SYSTem:BEEPer:STATe?</t>
  </si>
  <si>
    <t>SYSTem:CLICk:STATe {OFF|ON}</t>
  </si>
  <si>
    <t>SYSTem:CLICk:STATe?</t>
  </si>
  <si>
    <t>SYSTem:DATE &lt;year&gt;, &lt;month&gt;, &lt;day&gt;</t>
  </si>
  <si>
    <t>SYSTem:DATE?</t>
  </si>
  <si>
    <t>SYSTem:ERRor[:NEXT]?</t>
  </si>
  <si>
    <t>SYSTem:HELP?</t>
  </si>
  <si>
    <t>SYSTem:IDENtify {DEFault|AT34460A|AT34461A|AT34410A|AT34411A|HP34401A}*</t>
  </si>
  <si>
    <t>SYSTem:IDENtify?</t>
  </si>
  <si>
    <t>SYSTem:LABel "&lt;string&gt;"</t>
  </si>
  <si>
    <t>SYSTem:LABel?</t>
  </si>
  <si>
    <t>SYSTem:LFRequency?</t>
  </si>
  <si>
    <t>SYSTem:LOCal</t>
  </si>
  <si>
    <t>SYSTem:PRESet</t>
  </si>
  <si>
    <t>SYSTem:SECurity:COUNt?</t>
  </si>
  <si>
    <t>SYSTem:SECurity:IMMediate</t>
  </si>
  <si>
    <t>SYSTem:TEMPerature?</t>
  </si>
  <si>
    <t>SYSTem:TIME &lt;hour&gt;, &lt;minute&gt;, &lt;second&gt;</t>
  </si>
  <si>
    <t>SYSTem:TIME?</t>
  </si>
  <si>
    <t>SYSTem:UPTime?</t>
  </si>
  <si>
    <t>SYSTem:USB:HOST:ENABle {OFF|ON}</t>
  </si>
  <si>
    <t>SYSTem:USB:HOST:ENABle?</t>
  </si>
  <si>
    <t>SYSTem:VERSion?</t>
  </si>
  <si>
    <t>SYSTem:WMESsage "&lt;string&gt;"</t>
  </si>
  <si>
    <t>SYSTem:WMESsage?</t>
  </si>
  <si>
    <t>TEST:ALL?</t>
  </si>
  <si>
    <t>Interface Locking Commands</t>
  </si>
  <si>
    <t>SYSTem:LOCK:NAME?</t>
  </si>
  <si>
    <t>SYSTem:LOCK:OWNer?</t>
  </si>
  <si>
    <t>SYSTem:LOCK:RELease</t>
  </si>
  <si>
    <t>SYSTem:LOCK:REQuest?</t>
  </si>
  <si>
    <t>License Management Commands</t>
  </si>
  <si>
    <t>SYSTem:LICense:CATalog?</t>
  </si>
  <si>
    <t>SYSTem:LICense:DELete "&lt;option_name&gt;"</t>
  </si>
  <si>
    <t>SYSTem:LICense:DELete:ALL</t>
  </si>
  <si>
    <t>SYSTem:LICense:DESCription? "&lt;option_name&gt;"</t>
  </si>
  <si>
    <t>SYSTem:LICense:ERRor?</t>
  </si>
  <si>
    <t>SYSTem:LICense:ERRor:COUNt?</t>
  </si>
  <si>
    <t>SYSTem:LICense:INSTall [{&lt;folder&gt;|&lt;file&gt;}]</t>
  </si>
  <si>
    <t>SYSTem:LICense:INSTall? "&lt;option_name&gt;"</t>
  </si>
  <si>
    <t>Interface Configuration Commands</t>
  </si>
  <si>
    <t>SYSTem:COMMunicate:ENABle {OFF|ON}, {GPIB|HISLip|USB|LAN|SOCKets|TELNet|VXI11|WEB|USBMtp|USBHost}</t>
  </si>
  <si>
    <t>SYSTem:COMMunicate:ENABle? {GPIB|HISLip|USB|LAN|SOCKets|TELNet|VXI11|WEB|USBMtp|USBHost}</t>
  </si>
  <si>
    <t>SYSTem:COMMunicate:GPIB:ADDRess &lt;address&gt;</t>
  </si>
  <si>
    <t>SYSTem:COMMunicate:GPIB:ADDRess?</t>
  </si>
  <si>
    <t>SYSTem:COMMunicate:LAN:CONTrol?</t>
  </si>
  <si>
    <t>SYSTem:COMMunicate:LAN:DHCP {OFF|ON}</t>
  </si>
  <si>
    <t>SYSTem:COMMunicate:LAN:DHCP?</t>
  </si>
  <si>
    <t>SYSTem:COMMunicate:LAN:DNS[{1|2}] "&lt;address&gt;"</t>
  </si>
  <si>
    <t>SYSTem:COMMunicate:LAN:DNS[{1|2}]? [{CURRent|STATic}]</t>
  </si>
  <si>
    <t>SYSTem:COMMunicate:LAN:DOMain?</t>
  </si>
  <si>
    <t>SYSTem:COMMunicate:LAN:GATeway "&lt;address&gt;"</t>
  </si>
  <si>
    <t>SYSTem:COMMunicate:LAN:GATeway? [{CURRent|STATic}]</t>
  </si>
  <si>
    <t>SYSTem:COMMunicate:LAN:HOSTname "&lt;name&gt;"</t>
  </si>
  <si>
    <t>SYSTem:COMMunicate:LAN:HOSTname? [{CURRent|STATic}]</t>
  </si>
  <si>
    <t>SYSTem:COMMunicate:LAN:IPADdress "&lt;address&gt;"</t>
  </si>
  <si>
    <t>SYSTem:COMMunicate:LAN:IPADdress? [{CURRent|STATic}]</t>
  </si>
  <si>
    <t>SYSTem:COMMunicate:LAN:MAC?</t>
  </si>
  <si>
    <t>SYSTem:COMMunicate:LAN:SMASk "&lt;mask&gt;"</t>
  </si>
  <si>
    <t>SYSTem:COMMunicate:LAN:SMASk? [{CURRent|STATic}]</t>
  </si>
  <si>
    <t>SYSTem:COMMunicate:LAN:TELNet:PROMpt "&lt;string&gt;"</t>
  </si>
  <si>
    <t>SYSTem:COMMunicate:LAN:TELNet:PROMpt?</t>
  </si>
  <si>
    <t>SYSTem:COMMunicate:LAN:TELNet:WMESsage "&lt;string&gt;"</t>
  </si>
  <si>
    <t>SYSTem:COMMunicate:LAN:TELNet:WMESsage?</t>
  </si>
  <si>
    <t>SYSTem:COMMunicate:LAN:UPDate</t>
  </si>
  <si>
    <t>SYSTem:COMMunicate:LAN:WINS[{1|2}] "&lt;address&gt;"</t>
  </si>
  <si>
    <t>SYSTem:COMMunicate:LAN:WINS[{1|2}]? [{CURRent|STATic}]</t>
  </si>
  <si>
    <t>Status System Commands</t>
  </si>
  <si>
    <t>STATus:OPERation:CONDition?</t>
  </si>
  <si>
    <t>STATus:OPERation:ENABle &lt;enable_value&gt;</t>
  </si>
  <si>
    <t>STATus:OPERation:ENABle?</t>
  </si>
  <si>
    <t>STATus:OPERation[:EVENt]?</t>
  </si>
  <si>
    <t>STATus:PRESet</t>
  </si>
  <si>
    <t>STATus:QUEStionable:CONDition?</t>
  </si>
  <si>
    <t>STATus:QUEStionable:ENABle &lt;enable_value&gt;</t>
  </si>
  <si>
    <t>STATus:QUEStionable:ENABle?</t>
  </si>
  <si>
    <t>STATus:QUEStionable[:EVENt]?</t>
  </si>
  <si>
    <t>Notes</t>
  </si>
  <si>
    <t>Options are slightly different</t>
  </si>
  <si>
    <t>6500 more limited range</t>
  </si>
  <si>
    <t>Will need to have an auto state, should this also turn rel on?</t>
  </si>
  <si>
    <t>34461 Does not have this option</t>
  </si>
  <si>
    <t>Checklist</t>
  </si>
  <si>
    <t>Abbreviations</t>
  </si>
  <si>
    <t>Not currently supported</t>
  </si>
  <si>
    <t>No true secondary function on 6500</t>
  </si>
  <si>
    <t>Not available on 6500</t>
  </si>
  <si>
    <t>NPLC is more limited on 6500</t>
  </si>
  <si>
    <t>Once only works if current function matches</t>
  </si>
  <si>
    <t>Range more limited on 6500 for AC</t>
  </si>
  <si>
    <t>Todo:</t>
  </si>
  <si>
    <t>Add command support</t>
  </si>
  <si>
    <t>Clean and improve comments</t>
  </si>
  <si>
    <t>Include Errorqueue</t>
  </si>
  <si>
    <t>Review Error numbers in parser functions ensuring having wrong parameter type is handled correctly</t>
  </si>
  <si>
    <t>Done:</t>
  </si>
  <si>
    <t>Date:</t>
  </si>
  <si>
    <t>Cull Unused variables/functions</t>
  </si>
  <si>
    <t>Supported</t>
  </si>
  <si>
    <t>Working</t>
  </si>
  <si>
    <t>Ratio shares all config variables with DCV</t>
  </si>
  <si>
    <t>MEASure? Support</t>
  </si>
  <si>
    <t>Remove Dev Features</t>
  </si>
  <si>
    <t>Loadscript onto instrument</t>
  </si>
  <si>
    <t>Quality Readme</t>
  </si>
  <si>
    <t>Fix script variables not updating when locally changed</t>
  </si>
  <si>
    <t>Customer version of supported spreadsheet</t>
  </si>
  <si>
    <t>Not Supported</t>
  </si>
  <si>
    <t>Partial Support</t>
  </si>
  <si>
    <t>Inserted in Command Tree</t>
  </si>
  <si>
    <t>Should be able to execute at any time</t>
  </si>
  <si>
    <t>Fix Function change</t>
  </si>
  <si>
    <t>BUS not working yet</t>
  </si>
  <si>
    <t>Only breaks measurements, not commands that are waiting</t>
  </si>
  <si>
    <t>If buffer doesn't have enough readings and measurement is idle, just returns no error</t>
  </si>
  <si>
    <t>Simplify DATA:REMOVE?</t>
  </si>
  <si>
    <t>Make FindStartIndex() function to find first non removed index</t>
  </si>
  <si>
    <t>Not available on 34461A</t>
  </si>
  <si>
    <t>Not Started</t>
  </si>
  <si>
    <t>CONFigure:TEMPerature [{FRTD|RTD|FTHermistor|THERmistor|TCouple|DEFault} [, {&lt;type&gt;|DEFault} [,1 ,{&lt;resolution&gt;|MIN|MAX|DEF}]]]]</t>
  </si>
  <si>
    <t>Will need backdoor commands to implement</t>
  </si>
  <si>
    <t>Support Auto Null</t>
  </si>
  <si>
    <t>Support Resistance Measurements</t>
  </si>
  <si>
    <t>Ranges go higher on 34461 but lower on 6500</t>
  </si>
  <si>
    <t>NPLC goes lower on 6500 but higher on 34461</t>
  </si>
  <si>
    <t>Null value slightly more limited on 6500</t>
  </si>
  <si>
    <t>Support Current Measurements</t>
  </si>
  <si>
    <t>6500 Does not support histogram commands</t>
  </si>
  <si>
    <t>6500 only has 3A terminal</t>
  </si>
  <si>
    <t>Fix Range Commands</t>
  </si>
  <si>
    <t>Ranges different on 6500</t>
  </si>
  <si>
    <t>Fix data:last?</t>
  </si>
  <si>
    <t>Find a way for ABORT to interrupt blocking commands</t>
  </si>
  <si>
    <t>Impliment Status Model</t>
  </si>
  <si>
    <t>Cannot save enable variables in non-volitile</t>
  </si>
  <si>
    <t>Make RQS Clear</t>
  </si>
  <si>
    <t>Config Change Bit</t>
  </si>
  <si>
    <t>Status Byte Register</t>
  </si>
  <si>
    <t>Error Queue</t>
  </si>
  <si>
    <t>Questionable Summary</t>
  </si>
  <si>
    <t>Output Buffer</t>
  </si>
  <si>
    <t>Standard Event Summary</t>
  </si>
  <si>
    <t>Master Summary</t>
  </si>
  <si>
    <t>Standard Operation Summary</t>
  </si>
  <si>
    <t>Standard Event Register</t>
  </si>
  <si>
    <t>Operation Complete</t>
  </si>
  <si>
    <t>Query Error</t>
  </si>
  <si>
    <t>Device Error</t>
  </si>
  <si>
    <t>Execution Error</t>
  </si>
  <si>
    <t>Command Error</t>
  </si>
  <si>
    <t>Power On</t>
  </si>
  <si>
    <t>Questionable Data Register</t>
  </si>
  <si>
    <t>Standard Operation Register</t>
  </si>
  <si>
    <t>Voltage Overload</t>
  </si>
  <si>
    <t>Current Overload</t>
  </si>
  <si>
    <t>Temperature Overload</t>
  </si>
  <si>
    <t>Frequency Overload</t>
  </si>
  <si>
    <t>Calibration Corrupt</t>
  </si>
  <si>
    <t>Resistance Overload</t>
  </si>
  <si>
    <t>Capacitance Overload</t>
  </si>
  <si>
    <t>Lower Limit Fail</t>
  </si>
  <si>
    <t>Upper Limit Fail</t>
  </si>
  <si>
    <t>Reading Memory Overflow</t>
  </si>
  <si>
    <t>Calibrating</t>
  </si>
  <si>
    <t>Measuring</t>
  </si>
  <si>
    <t>Waiting For Trig</t>
  </si>
  <si>
    <t>Config Change</t>
  </si>
  <si>
    <t>Reading Memory Threshold</t>
  </si>
  <si>
    <t>Instrument Locked</t>
  </si>
  <si>
    <t>Global Error</t>
  </si>
  <si>
    <t>Config Change is whenever a change resets the buffer</t>
  </si>
  <si>
    <t>Does not account for removed data points</t>
  </si>
  <si>
    <t>Only works when trigger model has been waiting for over 100ms</t>
  </si>
  <si>
    <t>Only checks 6500 Errors</t>
  </si>
  <si>
    <t>No way to check for corrupt calibration on 6500</t>
  </si>
  <si>
    <t>No way to check that instrument is calibrating on 6500</t>
  </si>
  <si>
    <t>No instrument locking on 6500</t>
  </si>
  <si>
    <t>No locking on 6500</t>
  </si>
  <si>
    <t>No license on 6500</t>
  </si>
  <si>
    <t>No meas complete trigger to map external out to</t>
  </si>
  <si>
    <t>If buffer doesn't have enough readings and measurement is idle, just returns with no error</t>
  </si>
  <si>
    <t>Limit max/min more limited on 6500</t>
  </si>
  <si>
    <t>Could accept and just return 0</t>
  </si>
  <si>
    <t>PCT and SCALe don't apply to 34461A</t>
  </si>
  <si>
    <t>6500 does not have an auto reference option</t>
  </si>
  <si>
    <t>Simpler trigger model state</t>
  </si>
  <si>
    <t>Update Scan State Function</t>
  </si>
  <si>
    <t>Does not apply to 34461</t>
  </si>
  <si>
    <t>No self test on 6500</t>
  </si>
  <si>
    <t>No calibration control on 6500</t>
  </si>
  <si>
    <t>TCouple Does not apply to 34461 FTHermistor not available on 6500</t>
  </si>
  <si>
    <t>Values limited by 6500</t>
  </si>
  <si>
    <t>Freq/Per range not supported on 6500</t>
  </si>
  <si>
    <t>No timeout control on 6500</t>
  </si>
  <si>
    <t>TCouple Does not apply to 34461 FTHermistor not available on 6500, Type is ignored, Resolution is ignored</t>
  </si>
  <si>
    <t>Both parameters are ignored</t>
  </si>
  <si>
    <t>No Acal commands on 6500</t>
  </si>
  <si>
    <t>No click option on 6500 (Front panel only)</t>
  </si>
  <si>
    <t>No Security on 6500</t>
  </si>
  <si>
    <t>No temperature access on 6500</t>
  </si>
  <si>
    <t>No way to access this on 6500</t>
  </si>
  <si>
    <t>No way to set a poweron message on 6500</t>
  </si>
  <si>
    <t>Cannot enable/disable front USB on 6500</t>
  </si>
  <si>
    <t>Cant change beeper on cont or diode remotely</t>
  </si>
  <si>
    <t>No partial seconds</t>
  </si>
  <si>
    <t>Just prints 1994.0</t>
  </si>
  <si>
    <t>No histogram support</t>
  </si>
  <si>
    <t>Will need to fill this in if I have time</t>
  </si>
  <si>
    <t>MMEMory:UPLoad? &lt;file&gt;+A379:D396</t>
  </si>
  <si>
    <t>This is how you exit the emulation program</t>
  </si>
  <si>
    <t>Meter,Histogram not supported on 6500</t>
  </si>
  <si>
    <t>Always on on 6500</t>
  </si>
  <si>
    <t>Screenshot capability unavailable over TSP</t>
  </si>
  <si>
    <t>LXI settings not accessible with TSP</t>
  </si>
  <si>
    <t>No domain control on 6500</t>
  </si>
  <si>
    <t>No hostname control on 6500</t>
  </si>
  <si>
    <t>Cannot change prompts on 6500</t>
  </si>
  <si>
    <t>No welcome messages on 6500</t>
  </si>
  <si>
    <t>Not needed, using ipconfig()</t>
  </si>
  <si>
    <t>Just returns "TSP&gt;"</t>
  </si>
  <si>
    <t>Not supported on 34461A</t>
  </si>
  <si>
    <t>No downloading on 6500</t>
  </si>
  <si>
    <t>No uploading on 6500</t>
  </si>
  <si>
    <t>Cannot change filename on 6500</t>
  </si>
  <si>
    <t>May be able to get this working but would need to be very custom</t>
  </si>
  <si>
    <t>Just works like waitcomplete()</t>
  </si>
  <si>
    <t>Ensure non-volatiles are non-volatile</t>
  </si>
  <si>
    <t>Cannot access port number</t>
  </si>
  <si>
    <t>Just changes between auto/manual</t>
  </si>
  <si>
    <t>Just indicates auto or manual connection</t>
  </si>
  <si>
    <t>Only prints current</t>
  </si>
  <si>
    <t>Only sets if LAN is manual</t>
  </si>
  <si>
    <t>Cannot set DNS on 6500</t>
  </si>
  <si>
    <t>Cannot control which protocol is enabled on 6500</t>
  </si>
  <si>
    <t>No Ccopy function on 6500</t>
  </si>
  <si>
    <t>Cannot delete files on 6500</t>
  </si>
  <si>
    <t>Simply lists all file names in a specified directory in block data format, only USB availbale</t>
  </si>
  <si>
    <t>Default directory not reset between instances of program, only USB availbale</t>
  </si>
  <si>
    <t>Only USB availbale</t>
  </si>
  <si>
    <t>Possible but time consumuming to support</t>
  </si>
  <si>
    <t>Could just return a dummy string</t>
  </si>
  <si>
    <t>Only CSV allowed</t>
  </si>
  <si>
    <t>Auto is handled in STORE:STATE command</t>
  </si>
  <si>
    <t>This is now MMEMory:STORe:STATe &lt;file&gt;[, AUTO] where if auto is specified the script name will be autoexec and run on startup, the filename parameter will be ignored, all path data is ignored</t>
  </si>
  <si>
    <t>This is now MMEMory:STATe:VALid &lt;file&gt;[, AUTO] where if auto is specified the script name will be autoexec and check startup script, the filename parameter will be ignored, all path data is ignored</t>
  </si>
  <si>
    <t>This is now MMEMory:LOAD:STATe &lt;file&gt;[, AUTO] where if auto is specified the script name will be autoexec and run startup script, the filename parameter will be ignored, all path data is ignored</t>
  </si>
  <si>
    <t>Fix priority commands</t>
  </si>
  <si>
    <t>Check resets</t>
  </si>
  <si>
    <t>Clean parameter table and reusable parameters</t>
  </si>
  <si>
    <t>Status:</t>
  </si>
  <si>
    <t>Count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</si>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</sst>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3" xfId="0" applyFont="1" applyBorder="1"/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3" xfId="0" applyBorder="1" applyAlignment="1">
      <alignment horizontal="left" vertical="top" wrapText="1"/>
    </xf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0" borderId="0" xfId="0" applyNumberFormat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5" xfId="0" applyBorder="1"/>
    <xf numFmtId="0" fontId="0" fillId="4" borderId="0" xfId="0" applyFill="1" applyAlignment="1">
      <alignment vertical="center" wrapText="1"/>
    </xf>
    <xf numFmtId="16" fontId="0" fillId="0" borderId="0" xfId="0" applyNumberFormat="1"/>
    <xf numFmtId="0" fontId="0" fillId="4" borderId="0" xfId="0" applyFill="1"/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wrapText="1"/>
    </xf>
    <xf numFmtId="0" fontId="0" fillId="0" borderId="6" xfId="0" applyBorder="1" applyAlignment="1">
      <alignment horizontal="left" vertical="top"/>
    </xf>
    <xf numFmtId="0" fontId="0" fillId="0" borderId="12" xfId="0" applyBorder="1" applyAlignment="1">
      <alignment wrapText="1"/>
    </xf>
    <xf numFmtId="0" fontId="0" fillId="0" borderId="7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6" xfId="0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/>
    <xf numFmtId="0" fontId="1" fillId="0" borderId="3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15" xfId="0" applyFont="1" applyBorder="1"/>
    <xf numFmtId="0" fontId="1" fillId="0" borderId="2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66"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DCD"/>
        </patternFill>
      </fill>
    </dxf>
    <dxf>
      <fill>
        <patternFill>
          <bgColor rgb="FFFF9B9B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DCD"/>
        </patternFill>
      </fill>
    </dxf>
    <dxf>
      <fill>
        <patternFill>
          <bgColor rgb="FFFF9B9B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DCD"/>
        </patternFill>
      </fill>
    </dxf>
    <dxf>
      <fill>
        <patternFill>
          <bgColor rgb="FFFF9B9B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9" tint="0.79998168889431442"/>
        </patternFill>
      </fill>
    </dxf>
  </dxfs>
  <tableStyles count="1" defaultTableStyle="Table Style 1" defaultPivotStyle="PivotStyleLight16">
    <tableStyle name="Table Style 1" pivot="0" count="2" xr9:uid="{2008A3F9-383F-4862-93F4-F95837752461}">
      <tableStyleElement type="wholeTable" dxfId="65"/>
      <tableStyleElement type="firstRowStripe" dxfId="64"/>
    </tableStyle>
  </tableStyles>
  <colors>
    <mruColors>
      <color rgb="FFFF9B9B"/>
      <color rgb="FFFFCDCD"/>
      <color rgb="FFFFD5CD"/>
      <color rgb="FFFDA9A9"/>
      <color rgb="FFFD9191"/>
      <color rgb="FFFCCECE"/>
      <color rgb="FFFE9898"/>
      <color rgb="FFFD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Command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D-4573-A5CE-89809A5D7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DD-4573-A5CE-89809A5D7C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DD-4573-A5CE-89809A5D7C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DD-4573-A5CE-89809A5D7C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DD-4573-A5CE-89809A5D7CC7}"/>
              </c:ext>
            </c:extLst>
          </c:dPt>
          <c:cat>
            <c:strRef>
              <c:f>'Supported Commands'!$G$3:$G$7</c:f>
              <c:strCache>
                <c:ptCount val="5"/>
                <c:pt idx="0">
                  <c:v>Not Started</c:v>
                </c:pt>
                <c:pt idx="1">
                  <c:v>Working</c:v>
                </c:pt>
                <c:pt idx="2">
                  <c:v>Supported</c:v>
                </c:pt>
                <c:pt idx="3">
                  <c:v>Partial Support</c:v>
                </c:pt>
                <c:pt idx="4">
                  <c:v>Not Supported</c:v>
                </c:pt>
              </c:strCache>
            </c:strRef>
          </c:cat>
          <c:val>
            <c:numRef>
              <c:f>'Supported Commands'!$H$3:$H$7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0.37959183673469388</c:v>
                </c:pt>
                <c:pt idx="3">
                  <c:v>0.12065439672801637</c:v>
                </c:pt>
                <c:pt idx="4">
                  <c:v>0.50204918032786883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0-4E03-A536-D70DF34D3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8</xdr:row>
      <xdr:rowOff>17648</xdr:rowOff>
    </xdr:from>
    <xdr:to>
      <xdr:col>11</xdr:col>
      <xdr:colOff>539564</xdr:colOff>
      <xdr:row>19</xdr:row>
      <xdr:rowOff>65273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8C8A2-67DD-328E-28C4-BA78A982A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4"/>
  <sheetViews>
    <sheetView topLeftCell="B1" zoomScale="85" zoomScaleNormal="85" workbookViewId="0">
      <pane ySplit="1" topLeftCell="A2" activePane="bottomLeft" state="frozen"/>
      <selection pane="bottomLeft" activeCell="H21" sqref="H21"/>
    </sheetView>
  </sheetViews>
  <sheetFormatPr defaultRowHeight="15" x14ac:dyDescent="0.25"/>
  <cols>
    <col min="1" max="1" width="27.42578125" customWidth="1"/>
    <col min="2" max="2" width="14.85546875" customWidth="1"/>
    <col min="3" max="3" width="15" customWidth="1"/>
    <col min="4" max="4" width="102" style="52" customWidth="1"/>
    <col min="5" max="5" width="54" customWidth="1"/>
    <col min="7" max="7" width="14.42578125" customWidth="1"/>
  </cols>
  <sheetData>
    <row r="1" spans="1:9" ht="15.75" thickBot="1" x14ac:dyDescent="0.3">
      <c r="A1" s="20" t="s">
        <v>499</v>
      </c>
      <c r="B1" s="21" t="s">
        <v>473</v>
      </c>
      <c r="C1" s="22" t="s">
        <v>488</v>
      </c>
      <c r="D1" s="19" t="s">
        <v>0</v>
      </c>
      <c r="E1" s="2" t="s">
        <v>467</v>
      </c>
    </row>
    <row r="2" spans="1:9" ht="15.75" thickBot="1" x14ac:dyDescent="0.3">
      <c r="A2" s="76" t="s">
        <v>472</v>
      </c>
      <c r="B2" s="77"/>
      <c r="C2" s="78"/>
      <c r="D2" s="72" t="s">
        <v>52</v>
      </c>
      <c r="E2" s="73"/>
      <c r="G2" s="81" t="s">
        <v>639</v>
      </c>
      <c r="H2" s="82" t="s">
        <v>641</v>
      </c>
      <c r="I2" s="2" t="s">
        <v>640</v>
      </c>
    </row>
    <row r="3" spans="1:9" x14ac:dyDescent="0.25">
      <c r="A3" s="11" t="b">
        <v>1</v>
      </c>
      <c r="B3" s="12" t="b">
        <v>1</v>
      </c>
      <c r="C3" s="13" t="s">
        <v>488</v>
      </c>
      <c r="D3" s="68" t="s">
        <v>1</v>
      </c>
      <c r="E3" s="53"/>
      <c r="G3" s="8" t="s">
        <v>508</v>
      </c>
      <c r="H3" s="83">
        <f>COUNTIF(C1:C522, "Not Started")/COUNTA(C1:C522)</f>
        <v>0</v>
      </c>
      <c r="I3" s="27">
        <f>COUNTIF(C1:C522, "Not Started")</f>
        <v>0</v>
      </c>
    </row>
    <row r="4" spans="1:9" x14ac:dyDescent="0.25">
      <c r="A4" s="14" t="b">
        <v>1</v>
      </c>
      <c r="B4" s="39" t="b">
        <v>1</v>
      </c>
      <c r="C4" s="15" t="s">
        <v>488</v>
      </c>
      <c r="D4" s="67" t="s">
        <v>2</v>
      </c>
      <c r="E4" s="54"/>
      <c r="G4" s="8" t="s">
        <v>489</v>
      </c>
      <c r="H4" s="84">
        <f>COUNTIF(C2:C523, "Working")/COUNTA(C2:C523)</f>
        <v>0</v>
      </c>
      <c r="I4" s="27">
        <f>COUNTIF(C2:C523, "Working")</f>
        <v>0</v>
      </c>
    </row>
    <row r="5" spans="1:9" x14ac:dyDescent="0.25">
      <c r="A5" s="14" t="b">
        <v>1</v>
      </c>
      <c r="B5" s="39" t="b">
        <v>1</v>
      </c>
      <c r="C5" s="15" t="s">
        <v>488</v>
      </c>
      <c r="D5" s="67" t="s">
        <v>3</v>
      </c>
      <c r="E5" s="54"/>
      <c r="G5" s="8" t="s">
        <v>488</v>
      </c>
      <c r="H5" s="84">
        <f>COUNTIF(C3:C524, "Supported")/COUNTA(C3:C524)</f>
        <v>0.37959183673469388</v>
      </c>
      <c r="I5" s="27">
        <f>COUNTIF(C3:C524, "Supported")</f>
        <v>186</v>
      </c>
    </row>
    <row r="6" spans="1:9" x14ac:dyDescent="0.25">
      <c r="A6" s="14" t="b">
        <v>1</v>
      </c>
      <c r="B6" s="39" t="b">
        <v>1</v>
      </c>
      <c r="C6" s="15" t="s">
        <v>498</v>
      </c>
      <c r="D6" s="67" t="s">
        <v>4</v>
      </c>
      <c r="E6" s="54" t="s">
        <v>520</v>
      </c>
      <c r="G6" s="8" t="s">
        <v>498</v>
      </c>
      <c r="H6" s="84">
        <f>COUNTIF(C4:C525, "Partial Support")/COUNTA(C4:C525)</f>
        <v>0.12065439672801637</v>
      </c>
      <c r="I6" s="27">
        <f>COUNTIF(C4:C525, "Partial Support")</f>
        <v>59</v>
      </c>
    </row>
    <row r="7" spans="1:9" ht="15.75" thickBot="1" x14ac:dyDescent="0.3">
      <c r="A7" s="14" t="b">
        <v>1</v>
      </c>
      <c r="B7" s="39" t="b">
        <v>1</v>
      </c>
      <c r="C7" s="15" t="s">
        <v>488</v>
      </c>
      <c r="D7" s="67" t="s">
        <v>5</v>
      </c>
      <c r="E7" s="54"/>
      <c r="G7" s="7" t="s">
        <v>497</v>
      </c>
      <c r="H7" s="85">
        <f>COUNTIF(C5:C526, "Not Supported")/COUNTA(C5:C526)</f>
        <v>0.50204918032786883</v>
      </c>
      <c r="I7" s="28">
        <f>COUNTIF(C5:C526, "Not Supported")</f>
        <v>245</v>
      </c>
    </row>
    <row r="8" spans="1:9" x14ac:dyDescent="0.25">
      <c r="A8" s="14" t="b">
        <v>1</v>
      </c>
      <c r="B8" s="39" t="b">
        <v>1</v>
      </c>
      <c r="C8" s="15" t="s">
        <v>498</v>
      </c>
      <c r="D8" s="67" t="s">
        <v>6</v>
      </c>
      <c r="E8" s="8" t="s">
        <v>585</v>
      </c>
    </row>
    <row r="9" spans="1:9" x14ac:dyDescent="0.25">
      <c r="A9" s="14" t="b">
        <v>1</v>
      </c>
      <c r="B9" s="39" t="b">
        <v>1</v>
      </c>
      <c r="C9" s="15" t="s">
        <v>498</v>
      </c>
      <c r="D9" s="67" t="s">
        <v>7</v>
      </c>
      <c r="E9" s="54" t="s">
        <v>520</v>
      </c>
    </row>
    <row r="10" spans="1:9" ht="30" x14ac:dyDescent="0.25">
      <c r="A10" s="14" t="b">
        <v>1</v>
      </c>
      <c r="B10" s="39" t="b">
        <v>1</v>
      </c>
      <c r="C10" s="15" t="s">
        <v>498</v>
      </c>
      <c r="D10" s="69" t="s">
        <v>10</v>
      </c>
      <c r="E10" s="9" t="s">
        <v>584</v>
      </c>
    </row>
    <row r="11" spans="1:9" x14ac:dyDescent="0.25">
      <c r="A11" s="14" t="b">
        <v>1</v>
      </c>
      <c r="B11" s="39" t="b">
        <v>1</v>
      </c>
      <c r="C11" s="15" t="s">
        <v>498</v>
      </c>
      <c r="D11" s="67" t="s">
        <v>8</v>
      </c>
      <c r="E11" s="5" t="s">
        <v>479</v>
      </c>
    </row>
    <row r="12" spans="1:9" ht="15.75" thickBot="1" x14ac:dyDescent="0.3">
      <c r="A12" s="16" t="b">
        <v>1</v>
      </c>
      <c r="B12" s="17" t="b">
        <v>1</v>
      </c>
      <c r="C12" s="18" t="s">
        <v>498</v>
      </c>
      <c r="D12" s="70" t="s">
        <v>9</v>
      </c>
      <c r="E12" s="55" t="s">
        <v>490</v>
      </c>
    </row>
    <row r="13" spans="1:9" ht="15.75" thickBot="1" x14ac:dyDescent="0.3">
      <c r="D13" s="72" t="s">
        <v>53</v>
      </c>
      <c r="E13" s="73"/>
    </row>
    <row r="14" spans="1:9" x14ac:dyDescent="0.25">
      <c r="A14" s="11" t="b">
        <v>1</v>
      </c>
      <c r="B14" s="12" t="b">
        <v>1</v>
      </c>
      <c r="C14" s="13" t="s">
        <v>488</v>
      </c>
      <c r="D14" s="53" t="s">
        <v>11</v>
      </c>
      <c r="E14" s="56"/>
    </row>
    <row r="15" spans="1:9" x14ac:dyDescent="0.25">
      <c r="A15" s="14" t="b">
        <v>1</v>
      </c>
      <c r="B15" s="39" t="b">
        <v>1</v>
      </c>
      <c r="C15" s="15" t="s">
        <v>488</v>
      </c>
      <c r="D15" s="54" t="s">
        <v>12</v>
      </c>
      <c r="E15" s="54"/>
    </row>
    <row r="16" spans="1:9" x14ac:dyDescent="0.25">
      <c r="A16" s="14" t="b">
        <v>1</v>
      </c>
      <c r="B16" s="39" t="b">
        <v>1</v>
      </c>
      <c r="C16" s="15" t="s">
        <v>498</v>
      </c>
      <c r="D16" s="54" t="s">
        <v>13</v>
      </c>
      <c r="E16" s="54" t="s">
        <v>520</v>
      </c>
    </row>
    <row r="17" spans="1:5" x14ac:dyDescent="0.25">
      <c r="A17" s="14" t="b">
        <v>1</v>
      </c>
      <c r="B17" s="39" t="b">
        <v>1</v>
      </c>
      <c r="C17" s="15" t="s">
        <v>488</v>
      </c>
      <c r="D17" s="54" t="s">
        <v>14</v>
      </c>
      <c r="E17" s="54"/>
    </row>
    <row r="18" spans="1:5" x14ac:dyDescent="0.25">
      <c r="A18" s="14" t="b">
        <v>1</v>
      </c>
      <c r="B18" s="39" t="b">
        <v>1</v>
      </c>
      <c r="C18" s="15" t="s">
        <v>498</v>
      </c>
      <c r="D18" s="54" t="s">
        <v>15</v>
      </c>
      <c r="E18" s="8" t="s">
        <v>585</v>
      </c>
    </row>
    <row r="19" spans="1:5" x14ac:dyDescent="0.25">
      <c r="A19" s="14" t="b">
        <v>1</v>
      </c>
      <c r="B19" s="39" t="b">
        <v>1</v>
      </c>
      <c r="C19" s="15" t="s">
        <v>498</v>
      </c>
      <c r="D19" s="54" t="s">
        <v>16</v>
      </c>
      <c r="E19" s="54" t="s">
        <v>520</v>
      </c>
    </row>
    <row r="20" spans="1:5" ht="30" x14ac:dyDescent="0.25">
      <c r="A20" s="14" t="b">
        <v>1</v>
      </c>
      <c r="B20" s="39" t="b">
        <v>1</v>
      </c>
      <c r="C20" s="15" t="s">
        <v>498</v>
      </c>
      <c r="D20" s="5" t="s">
        <v>19</v>
      </c>
      <c r="E20" s="9" t="s">
        <v>584</v>
      </c>
    </row>
    <row r="21" spans="1:5" x14ac:dyDescent="0.25">
      <c r="A21" s="14" t="b">
        <v>1</v>
      </c>
      <c r="B21" s="39" t="b">
        <v>1</v>
      </c>
      <c r="C21" s="15" t="s">
        <v>498</v>
      </c>
      <c r="D21" s="54" t="s">
        <v>17</v>
      </c>
      <c r="E21" s="5" t="s">
        <v>479</v>
      </c>
    </row>
    <row r="22" spans="1:5" ht="15.75" thickBot="1" x14ac:dyDescent="0.3">
      <c r="A22" s="16" t="b">
        <v>1</v>
      </c>
      <c r="B22" s="17" t="b">
        <v>1</v>
      </c>
      <c r="C22" s="18" t="s">
        <v>498</v>
      </c>
      <c r="D22" s="55" t="s">
        <v>18</v>
      </c>
      <c r="E22" s="55" t="s">
        <v>490</v>
      </c>
    </row>
    <row r="23" spans="1:5" ht="15.75" thickBot="1" x14ac:dyDescent="0.3">
      <c r="D23" s="72" t="s">
        <v>54</v>
      </c>
      <c r="E23" s="73"/>
    </row>
    <row r="24" spans="1:5" x14ac:dyDescent="0.25">
      <c r="A24" s="11" t="b">
        <v>1</v>
      </c>
      <c r="B24" s="12" t="b">
        <v>1</v>
      </c>
      <c r="C24" s="13" t="s">
        <v>488</v>
      </c>
      <c r="D24" s="57" t="s">
        <v>20</v>
      </c>
      <c r="E24" s="6"/>
    </row>
    <row r="25" spans="1:5" ht="15.75" thickBot="1" x14ac:dyDescent="0.3">
      <c r="A25" s="16" t="b">
        <v>1</v>
      </c>
      <c r="B25" s="17" t="b">
        <v>1</v>
      </c>
      <c r="C25" s="18" t="s">
        <v>488</v>
      </c>
      <c r="D25" s="58" t="s">
        <v>21</v>
      </c>
      <c r="E25" s="7"/>
    </row>
    <row r="26" spans="1:5" ht="15.75" thickBot="1" x14ac:dyDescent="0.3">
      <c r="D26" s="74" t="s">
        <v>55</v>
      </c>
      <c r="E26" s="75"/>
    </row>
    <row r="27" spans="1:5" x14ac:dyDescent="0.25">
      <c r="A27" s="11" t="b">
        <v>1</v>
      </c>
      <c r="B27" s="12" t="b">
        <v>1</v>
      </c>
      <c r="C27" s="13" t="s">
        <v>498</v>
      </c>
      <c r="D27" s="53" t="s">
        <v>8</v>
      </c>
      <c r="E27" s="5" t="s">
        <v>479</v>
      </c>
    </row>
    <row r="28" spans="1:5" x14ac:dyDescent="0.25">
      <c r="A28" s="14" t="b">
        <v>1</v>
      </c>
      <c r="B28" s="39" t="b">
        <v>1</v>
      </c>
      <c r="C28" s="15" t="s">
        <v>498</v>
      </c>
      <c r="D28" s="54" t="s">
        <v>9</v>
      </c>
      <c r="E28" s="8" t="s">
        <v>490</v>
      </c>
    </row>
    <row r="29" spans="1:5" x14ac:dyDescent="0.25">
      <c r="A29" s="14" t="b">
        <v>1</v>
      </c>
      <c r="B29" s="39" t="b">
        <v>1</v>
      </c>
      <c r="C29" s="15" t="s">
        <v>488</v>
      </c>
      <c r="D29" s="54" t="s">
        <v>1</v>
      </c>
      <c r="E29" s="8"/>
    </row>
    <row r="30" spans="1:5" x14ac:dyDescent="0.25">
      <c r="A30" s="14" t="b">
        <v>1</v>
      </c>
      <c r="B30" s="39" t="b">
        <v>1</v>
      </c>
      <c r="C30" s="15" t="s">
        <v>488</v>
      </c>
      <c r="D30" s="54" t="s">
        <v>22</v>
      </c>
      <c r="E30" s="8" t="s">
        <v>468</v>
      </c>
    </row>
    <row r="31" spans="1:5" x14ac:dyDescent="0.25">
      <c r="A31" s="14" t="b">
        <v>1</v>
      </c>
      <c r="B31" s="39" t="b">
        <v>1</v>
      </c>
      <c r="C31" s="15" t="s">
        <v>488</v>
      </c>
      <c r="D31" s="54" t="s">
        <v>23</v>
      </c>
      <c r="E31" s="8"/>
    </row>
    <row r="32" spans="1:5" x14ac:dyDescent="0.25">
      <c r="A32" s="14" t="b">
        <v>1</v>
      </c>
      <c r="B32" s="39" t="b">
        <v>1</v>
      </c>
      <c r="C32" s="15" t="s">
        <v>488</v>
      </c>
      <c r="D32" s="54" t="s">
        <v>24</v>
      </c>
      <c r="E32" s="8"/>
    </row>
    <row r="33" spans="1:5" x14ac:dyDescent="0.25">
      <c r="A33" s="14" t="b">
        <v>1</v>
      </c>
      <c r="B33" s="39" t="b">
        <v>1</v>
      </c>
      <c r="C33" s="15" t="s">
        <v>488</v>
      </c>
      <c r="D33" s="54" t="s">
        <v>25</v>
      </c>
      <c r="E33" s="8"/>
    </row>
    <row r="34" spans="1:5" x14ac:dyDescent="0.25">
      <c r="A34" s="14" t="b">
        <v>1</v>
      </c>
      <c r="B34" s="39" t="b">
        <v>1</v>
      </c>
      <c r="C34" s="15" t="s">
        <v>498</v>
      </c>
      <c r="D34" s="54" t="s">
        <v>26</v>
      </c>
      <c r="E34" s="8" t="s">
        <v>469</v>
      </c>
    </row>
    <row r="35" spans="1:5" x14ac:dyDescent="0.25">
      <c r="A35" s="14" t="b">
        <v>1</v>
      </c>
      <c r="B35" s="39" t="b">
        <v>1</v>
      </c>
      <c r="C35" s="15" t="s">
        <v>488</v>
      </c>
      <c r="D35" s="54" t="s">
        <v>27</v>
      </c>
      <c r="E35" s="8"/>
    </row>
    <row r="36" spans="1:5" ht="15" customHeight="1" x14ac:dyDescent="0.25">
      <c r="A36" s="14" t="b">
        <v>1</v>
      </c>
      <c r="B36" s="39" t="b">
        <v>1</v>
      </c>
      <c r="C36" s="15" t="s">
        <v>488</v>
      </c>
      <c r="D36" s="54" t="s">
        <v>28</v>
      </c>
      <c r="E36" s="9" t="s">
        <v>470</v>
      </c>
    </row>
    <row r="37" spans="1:5" x14ac:dyDescent="0.25">
      <c r="A37" s="14" t="b">
        <v>1</v>
      </c>
      <c r="B37" s="39" t="b">
        <v>1</v>
      </c>
      <c r="C37" s="15" t="s">
        <v>488</v>
      </c>
      <c r="D37" s="54" t="s">
        <v>29</v>
      </c>
      <c r="E37" s="8"/>
    </row>
    <row r="38" spans="1:5" x14ac:dyDescent="0.25">
      <c r="A38" s="14" t="b">
        <v>1</v>
      </c>
      <c r="B38" s="39" t="b">
        <v>1</v>
      </c>
      <c r="C38" s="15" t="s">
        <v>498</v>
      </c>
      <c r="D38" s="54" t="s">
        <v>30</v>
      </c>
      <c r="E38" s="5" t="s">
        <v>479</v>
      </c>
    </row>
    <row r="39" spans="1:5" x14ac:dyDescent="0.25">
      <c r="A39" s="14" t="b">
        <v>1</v>
      </c>
      <c r="B39" s="39" t="b">
        <v>1</v>
      </c>
      <c r="C39" s="15" t="s">
        <v>488</v>
      </c>
      <c r="D39" s="54" t="s">
        <v>31</v>
      </c>
      <c r="E39" s="8"/>
    </row>
    <row r="40" spans="1:5" x14ac:dyDescent="0.25">
      <c r="A40" s="14" t="b">
        <v>1</v>
      </c>
      <c r="B40" s="39" t="b">
        <v>1</v>
      </c>
      <c r="C40" s="15" t="s">
        <v>488</v>
      </c>
      <c r="D40" s="54" t="s">
        <v>32</v>
      </c>
      <c r="E40" s="8"/>
    </row>
    <row r="41" spans="1:5" x14ac:dyDescent="0.25">
      <c r="A41" s="14" t="b">
        <v>1</v>
      </c>
      <c r="B41" s="39" t="b">
        <v>1</v>
      </c>
      <c r="C41" s="15" t="s">
        <v>488</v>
      </c>
      <c r="D41" s="54" t="s">
        <v>33</v>
      </c>
      <c r="E41" s="8"/>
    </row>
    <row r="42" spans="1:5" x14ac:dyDescent="0.25">
      <c r="A42" s="14" t="b">
        <v>0</v>
      </c>
      <c r="B42" s="39" t="b">
        <v>0</v>
      </c>
      <c r="C42" s="15" t="s">
        <v>497</v>
      </c>
      <c r="D42" s="54" t="s">
        <v>34</v>
      </c>
      <c r="E42" s="8" t="s">
        <v>475</v>
      </c>
    </row>
    <row r="43" spans="1:5" x14ac:dyDescent="0.25">
      <c r="A43" s="14" t="b">
        <v>0</v>
      </c>
      <c r="B43" s="39" t="b">
        <v>0</v>
      </c>
      <c r="C43" s="15" t="s">
        <v>497</v>
      </c>
      <c r="D43" s="54" t="s">
        <v>35</v>
      </c>
      <c r="E43" s="8" t="s">
        <v>475</v>
      </c>
    </row>
    <row r="44" spans="1:5" x14ac:dyDescent="0.25">
      <c r="A44" s="14" t="b">
        <v>0</v>
      </c>
      <c r="B44" s="39" t="b">
        <v>0</v>
      </c>
      <c r="C44" s="15" t="s">
        <v>497</v>
      </c>
      <c r="D44" s="54" t="s">
        <v>36</v>
      </c>
      <c r="E44" s="8" t="s">
        <v>471</v>
      </c>
    </row>
    <row r="45" spans="1:5" x14ac:dyDescent="0.25">
      <c r="A45" s="14" t="b">
        <v>0</v>
      </c>
      <c r="B45" s="39" t="b">
        <v>0</v>
      </c>
      <c r="C45" s="15" t="s">
        <v>497</v>
      </c>
      <c r="D45" s="54" t="s">
        <v>37</v>
      </c>
      <c r="E45" s="8" t="s">
        <v>471</v>
      </c>
    </row>
    <row r="46" spans="1:5" x14ac:dyDescent="0.25">
      <c r="A46" s="14" t="b">
        <v>0</v>
      </c>
      <c r="B46" s="39" t="b">
        <v>0</v>
      </c>
      <c r="C46" s="15" t="s">
        <v>497</v>
      </c>
      <c r="D46" s="54" t="s">
        <v>38</v>
      </c>
      <c r="E46" s="8" t="s">
        <v>471</v>
      </c>
    </row>
    <row r="47" spans="1:5" x14ac:dyDescent="0.25">
      <c r="A47" s="14" t="b">
        <v>0</v>
      </c>
      <c r="B47" s="39" t="b">
        <v>0</v>
      </c>
      <c r="C47" s="15" t="s">
        <v>497</v>
      </c>
      <c r="D47" s="54" t="s">
        <v>39</v>
      </c>
      <c r="E47" s="8" t="s">
        <v>471</v>
      </c>
    </row>
    <row r="48" spans="1:5" x14ac:dyDescent="0.25">
      <c r="A48" s="14" t="b">
        <v>0</v>
      </c>
      <c r="B48" s="39" t="b">
        <v>0</v>
      </c>
      <c r="C48" s="15" t="s">
        <v>497</v>
      </c>
      <c r="D48" s="54" t="s">
        <v>40</v>
      </c>
      <c r="E48" s="8" t="s">
        <v>476</v>
      </c>
    </row>
    <row r="49" spans="1:5" x14ac:dyDescent="0.25">
      <c r="A49" s="14" t="b">
        <v>0</v>
      </c>
      <c r="B49" s="39" t="b">
        <v>0</v>
      </c>
      <c r="C49" s="15" t="s">
        <v>497</v>
      </c>
      <c r="D49" s="54" t="s">
        <v>41</v>
      </c>
      <c r="E49" s="8" t="s">
        <v>476</v>
      </c>
    </row>
    <row r="50" spans="1:5" x14ac:dyDescent="0.25">
      <c r="A50" s="14" t="b">
        <v>1</v>
      </c>
      <c r="B50" s="39" t="b">
        <v>1</v>
      </c>
      <c r="C50" s="15" t="s">
        <v>498</v>
      </c>
      <c r="D50" s="54" t="s">
        <v>42</v>
      </c>
      <c r="E50" s="9" t="s">
        <v>477</v>
      </c>
    </row>
    <row r="51" spans="1:5" x14ac:dyDescent="0.25">
      <c r="A51" s="14" t="b">
        <v>1</v>
      </c>
      <c r="B51" s="39" t="b">
        <v>1</v>
      </c>
      <c r="C51" s="15" t="s">
        <v>488</v>
      </c>
      <c r="D51" s="54" t="s">
        <v>43</v>
      </c>
      <c r="E51" s="9"/>
    </row>
    <row r="52" spans="1:5" x14ac:dyDescent="0.25">
      <c r="A52" s="14" t="b">
        <v>0</v>
      </c>
      <c r="B52" s="39" t="b">
        <v>0</v>
      </c>
      <c r="C52" s="15" t="s">
        <v>497</v>
      </c>
      <c r="D52" s="54" t="s">
        <v>44</v>
      </c>
      <c r="E52" s="8" t="s">
        <v>475</v>
      </c>
    </row>
    <row r="53" spans="1:5" x14ac:dyDescent="0.25">
      <c r="A53" s="14" t="b">
        <v>0</v>
      </c>
      <c r="B53" s="39" t="b">
        <v>0</v>
      </c>
      <c r="C53" s="15" t="s">
        <v>497</v>
      </c>
      <c r="D53" s="54" t="s">
        <v>45</v>
      </c>
      <c r="E53" s="8" t="s">
        <v>475</v>
      </c>
    </row>
    <row r="54" spans="1:5" x14ac:dyDescent="0.25">
      <c r="A54" s="14" t="b">
        <v>0</v>
      </c>
      <c r="B54" s="39" t="b">
        <v>0</v>
      </c>
      <c r="C54" s="15" t="s">
        <v>497</v>
      </c>
      <c r="D54" s="54" t="s">
        <v>46</v>
      </c>
      <c r="E54" s="8" t="s">
        <v>474</v>
      </c>
    </row>
    <row r="55" spans="1:5" x14ac:dyDescent="0.25">
      <c r="A55" s="14" t="b">
        <v>0</v>
      </c>
      <c r="B55" s="39" t="b">
        <v>0</v>
      </c>
      <c r="C55" s="15" t="s">
        <v>497</v>
      </c>
      <c r="D55" s="54" t="s">
        <v>47</v>
      </c>
      <c r="E55" s="8" t="s">
        <v>474</v>
      </c>
    </row>
    <row r="56" spans="1:5" x14ac:dyDescent="0.25">
      <c r="A56" s="14" t="b">
        <v>0</v>
      </c>
      <c r="B56" s="39" t="b">
        <v>0</v>
      </c>
      <c r="C56" s="15" t="s">
        <v>497</v>
      </c>
      <c r="D56" s="54" t="s">
        <v>48</v>
      </c>
      <c r="E56" s="8" t="s">
        <v>475</v>
      </c>
    </row>
    <row r="57" spans="1:5" x14ac:dyDescent="0.25">
      <c r="A57" s="14" t="b">
        <v>0</v>
      </c>
      <c r="B57" s="39" t="b">
        <v>0</v>
      </c>
      <c r="C57" s="15" t="s">
        <v>497</v>
      </c>
      <c r="D57" s="54" t="s">
        <v>49</v>
      </c>
      <c r="E57" s="8" t="s">
        <v>475</v>
      </c>
    </row>
    <row r="58" spans="1:5" x14ac:dyDescent="0.25">
      <c r="A58" s="14" t="b">
        <v>1</v>
      </c>
      <c r="B58" s="39" t="b">
        <v>1</v>
      </c>
      <c r="C58" s="15" t="s">
        <v>498</v>
      </c>
      <c r="D58" s="54" t="s">
        <v>50</v>
      </c>
      <c r="E58" s="8" t="s">
        <v>478</v>
      </c>
    </row>
    <row r="59" spans="1:5" ht="15.75" thickBot="1" x14ac:dyDescent="0.3">
      <c r="A59" s="16" t="b">
        <v>1</v>
      </c>
      <c r="B59" s="17" t="b">
        <v>1</v>
      </c>
      <c r="C59" s="18" t="s">
        <v>488</v>
      </c>
      <c r="D59" s="55" t="s">
        <v>51</v>
      </c>
      <c r="E59" s="7"/>
    </row>
    <row r="60" spans="1:5" ht="15.75" thickBot="1" x14ac:dyDescent="0.3">
      <c r="D60" s="41" t="s">
        <v>56</v>
      </c>
    </row>
    <row r="61" spans="1:5" x14ac:dyDescent="0.25">
      <c r="A61" s="11" t="b">
        <v>1</v>
      </c>
      <c r="B61" s="12" t="b">
        <v>1</v>
      </c>
      <c r="C61" s="13" t="s">
        <v>498</v>
      </c>
      <c r="D61" s="42" t="s">
        <v>7</v>
      </c>
      <c r="E61" s="6" t="s">
        <v>520</v>
      </c>
    </row>
    <row r="62" spans="1:5" x14ac:dyDescent="0.25">
      <c r="A62" s="14" t="b">
        <v>1</v>
      </c>
      <c r="B62" s="39" t="b">
        <v>1</v>
      </c>
      <c r="C62" s="60" t="s">
        <v>488</v>
      </c>
      <c r="D62" s="43" t="s">
        <v>1</v>
      </c>
      <c r="E62" s="8"/>
    </row>
    <row r="63" spans="1:5" x14ac:dyDescent="0.25">
      <c r="A63" s="14" t="b">
        <v>0</v>
      </c>
      <c r="B63" s="39" t="b">
        <v>0</v>
      </c>
      <c r="C63" s="15" t="s">
        <v>497</v>
      </c>
      <c r="D63" s="43" t="s">
        <v>57</v>
      </c>
      <c r="E63" s="8" t="s">
        <v>471</v>
      </c>
    </row>
    <row r="64" spans="1:5" x14ac:dyDescent="0.25">
      <c r="A64" s="14" t="b">
        <v>0</v>
      </c>
      <c r="B64" s="39" t="b">
        <v>0</v>
      </c>
      <c r="C64" s="15" t="s">
        <v>497</v>
      </c>
      <c r="D64" s="43" t="s">
        <v>58</v>
      </c>
      <c r="E64" s="8" t="s">
        <v>471</v>
      </c>
    </row>
    <row r="65" spans="1:5" x14ac:dyDescent="0.25">
      <c r="A65" s="14" t="b">
        <v>0</v>
      </c>
      <c r="B65" s="39" t="b">
        <v>0</v>
      </c>
      <c r="C65" s="15" t="s">
        <v>497</v>
      </c>
      <c r="D65" s="43" t="s">
        <v>59</v>
      </c>
      <c r="E65" s="8" t="s">
        <v>471</v>
      </c>
    </row>
    <row r="66" spans="1:5" x14ac:dyDescent="0.25">
      <c r="A66" s="14" t="b">
        <v>0</v>
      </c>
      <c r="B66" s="39" t="b">
        <v>0</v>
      </c>
      <c r="C66" s="15" t="s">
        <v>497</v>
      </c>
      <c r="D66" s="43" t="s">
        <v>60</v>
      </c>
      <c r="E66" s="8" t="s">
        <v>471</v>
      </c>
    </row>
    <row r="67" spans="1:5" x14ac:dyDescent="0.25">
      <c r="A67" s="14" t="b">
        <v>1</v>
      </c>
      <c r="B67" s="39" t="b">
        <v>1</v>
      </c>
      <c r="C67" s="60" t="s">
        <v>498</v>
      </c>
      <c r="D67" s="43" t="s">
        <v>61</v>
      </c>
      <c r="E67" s="9" t="s">
        <v>514</v>
      </c>
    </row>
    <row r="68" spans="1:5" x14ac:dyDescent="0.25">
      <c r="A68" s="14" t="b">
        <v>1</v>
      </c>
      <c r="B68" s="39" t="b">
        <v>1</v>
      </c>
      <c r="C68" s="60" t="s">
        <v>488</v>
      </c>
      <c r="D68" s="43" t="s">
        <v>62</v>
      </c>
      <c r="E68" s="9"/>
    </row>
    <row r="69" spans="1:5" x14ac:dyDescent="0.25">
      <c r="A69" s="14" t="b">
        <v>1</v>
      </c>
      <c r="B69" s="39" t="b">
        <v>1</v>
      </c>
      <c r="C69" s="60" t="s">
        <v>488</v>
      </c>
      <c r="D69" s="43" t="s">
        <v>63</v>
      </c>
      <c r="E69" s="8"/>
    </row>
    <row r="70" spans="1:5" x14ac:dyDescent="0.25">
      <c r="A70" s="14" t="b">
        <v>1</v>
      </c>
      <c r="B70" s="39" t="b">
        <v>1</v>
      </c>
      <c r="C70" s="60" t="s">
        <v>488</v>
      </c>
      <c r="D70" s="43" t="s">
        <v>64</v>
      </c>
      <c r="E70" s="8"/>
    </row>
    <row r="71" spans="1:5" x14ac:dyDescent="0.25">
      <c r="A71" s="14" t="b">
        <v>1</v>
      </c>
      <c r="B71" s="39" t="b">
        <v>1</v>
      </c>
      <c r="C71" s="60" t="s">
        <v>498</v>
      </c>
      <c r="D71" s="43" t="s">
        <v>65</v>
      </c>
      <c r="E71" s="8" t="s">
        <v>515</v>
      </c>
    </row>
    <row r="72" spans="1:5" x14ac:dyDescent="0.25">
      <c r="A72" s="14" t="b">
        <v>1</v>
      </c>
      <c r="B72" s="39" t="b">
        <v>1</v>
      </c>
      <c r="C72" s="60" t="s">
        <v>488</v>
      </c>
      <c r="D72" s="43" t="s">
        <v>66</v>
      </c>
      <c r="E72" s="8"/>
    </row>
    <row r="73" spans="1:5" x14ac:dyDescent="0.25">
      <c r="A73" s="14" t="b">
        <v>1</v>
      </c>
      <c r="B73" s="39" t="b">
        <v>1</v>
      </c>
      <c r="C73" s="60" t="s">
        <v>488</v>
      </c>
      <c r="D73" s="43" t="s">
        <v>67</v>
      </c>
      <c r="E73" s="8"/>
    </row>
    <row r="74" spans="1:5" x14ac:dyDescent="0.25">
      <c r="A74" s="14" t="b">
        <v>1</v>
      </c>
      <c r="B74" s="39" t="b">
        <v>1</v>
      </c>
      <c r="C74" s="60" t="s">
        <v>488</v>
      </c>
      <c r="D74" s="43" t="s">
        <v>68</v>
      </c>
      <c r="E74" s="8"/>
    </row>
    <row r="75" spans="1:5" x14ac:dyDescent="0.25">
      <c r="A75" s="14" t="b">
        <v>0</v>
      </c>
      <c r="B75" s="39" t="b">
        <v>0</v>
      </c>
      <c r="C75" s="60" t="s">
        <v>497</v>
      </c>
      <c r="D75" s="43" t="s">
        <v>69</v>
      </c>
      <c r="E75" s="8" t="s">
        <v>577</v>
      </c>
    </row>
    <row r="76" spans="1:5" x14ac:dyDescent="0.25">
      <c r="A76" s="14" t="b">
        <v>0</v>
      </c>
      <c r="B76" s="39" t="b">
        <v>0</v>
      </c>
      <c r="C76" s="60" t="s">
        <v>497</v>
      </c>
      <c r="D76" s="43" t="s">
        <v>70</v>
      </c>
      <c r="E76" s="8" t="s">
        <v>577</v>
      </c>
    </row>
    <row r="77" spans="1:5" x14ac:dyDescent="0.25">
      <c r="A77" s="14" t="b">
        <v>0</v>
      </c>
      <c r="B77" s="39" t="b">
        <v>0</v>
      </c>
      <c r="C77" s="60" t="s">
        <v>497</v>
      </c>
      <c r="D77" s="43" t="s">
        <v>71</v>
      </c>
      <c r="E77" s="8" t="s">
        <v>577</v>
      </c>
    </row>
    <row r="78" spans="1:5" x14ac:dyDescent="0.25">
      <c r="A78" s="14" t="b">
        <v>0</v>
      </c>
      <c r="B78" s="39" t="b">
        <v>0</v>
      </c>
      <c r="C78" s="60" t="s">
        <v>497</v>
      </c>
      <c r="D78" s="43" t="s">
        <v>72</v>
      </c>
      <c r="E78" s="8" t="s">
        <v>577</v>
      </c>
    </row>
    <row r="79" spans="1:5" x14ac:dyDescent="0.25">
      <c r="A79" s="14" t="b">
        <v>1</v>
      </c>
      <c r="B79" s="39" t="b">
        <v>1</v>
      </c>
      <c r="C79" s="60" t="s">
        <v>498</v>
      </c>
      <c r="D79" s="43" t="s">
        <v>73</v>
      </c>
      <c r="E79" s="8" t="s">
        <v>513</v>
      </c>
    </row>
    <row r="80" spans="1:5" x14ac:dyDescent="0.25">
      <c r="A80" s="14" t="b">
        <v>1</v>
      </c>
      <c r="B80" s="39" t="b">
        <v>1</v>
      </c>
      <c r="C80" s="60" t="s">
        <v>488</v>
      </c>
      <c r="D80" s="43" t="s">
        <v>74</v>
      </c>
      <c r="E80" s="8"/>
    </row>
    <row r="81" spans="1:5" x14ac:dyDescent="0.25">
      <c r="A81" s="14" t="b">
        <v>1</v>
      </c>
      <c r="B81" s="39" t="b">
        <v>1</v>
      </c>
      <c r="C81" s="60" t="s">
        <v>488</v>
      </c>
      <c r="D81" s="43" t="s">
        <v>75</v>
      </c>
      <c r="E81" s="8"/>
    </row>
    <row r="82" spans="1:5" x14ac:dyDescent="0.25">
      <c r="A82" s="14" t="b">
        <v>1</v>
      </c>
      <c r="B82" s="39" t="b">
        <v>1</v>
      </c>
      <c r="C82" s="60" t="s">
        <v>488</v>
      </c>
      <c r="D82" s="43" t="s">
        <v>76</v>
      </c>
      <c r="E82" s="8"/>
    </row>
    <row r="83" spans="1:5" x14ac:dyDescent="0.25">
      <c r="A83" s="14" t="b">
        <v>0</v>
      </c>
      <c r="B83" s="39" t="b">
        <v>0</v>
      </c>
      <c r="C83" s="15" t="s">
        <v>497</v>
      </c>
      <c r="D83" s="43" t="s">
        <v>77</v>
      </c>
      <c r="E83" s="8" t="s">
        <v>474</v>
      </c>
    </row>
    <row r="84" spans="1:5" x14ac:dyDescent="0.25">
      <c r="A84" s="14" t="b">
        <v>0</v>
      </c>
      <c r="B84" s="39" t="b">
        <v>0</v>
      </c>
      <c r="C84" s="15" t="s">
        <v>497</v>
      </c>
      <c r="D84" s="43" t="s">
        <v>78</v>
      </c>
      <c r="E84" s="8" t="s">
        <v>474</v>
      </c>
    </row>
    <row r="85" spans="1:5" x14ac:dyDescent="0.25">
      <c r="A85" s="14" t="b">
        <v>0</v>
      </c>
      <c r="B85" s="39" t="b">
        <v>0</v>
      </c>
      <c r="C85" s="15" t="s">
        <v>497</v>
      </c>
      <c r="D85" s="43" t="s">
        <v>79</v>
      </c>
      <c r="E85" s="8" t="s">
        <v>475</v>
      </c>
    </row>
    <row r="86" spans="1:5" x14ac:dyDescent="0.25">
      <c r="A86" s="14" t="b">
        <v>0</v>
      </c>
      <c r="B86" s="39" t="b">
        <v>0</v>
      </c>
      <c r="C86" s="15" t="s">
        <v>497</v>
      </c>
      <c r="D86" s="43" t="s">
        <v>80</v>
      </c>
      <c r="E86" s="8" t="s">
        <v>475</v>
      </c>
    </row>
    <row r="87" spans="1:5" x14ac:dyDescent="0.25">
      <c r="A87" s="14" t="b">
        <v>1</v>
      </c>
      <c r="B87" s="39" t="b">
        <v>1</v>
      </c>
      <c r="C87" s="60" t="s">
        <v>498</v>
      </c>
      <c r="D87" s="43" t="s">
        <v>81</v>
      </c>
      <c r="E87" s="8" t="s">
        <v>478</v>
      </c>
    </row>
    <row r="88" spans="1:5" ht="15.75" thickBot="1" x14ac:dyDescent="0.3">
      <c r="A88" s="16" t="b">
        <v>1</v>
      </c>
      <c r="B88" s="17" t="b">
        <v>1</v>
      </c>
      <c r="C88" s="18" t="s">
        <v>488</v>
      </c>
      <c r="D88" s="44" t="s">
        <v>82</v>
      </c>
      <c r="E88" s="7"/>
    </row>
    <row r="89" spans="1:5" ht="15.75" thickBot="1" x14ac:dyDescent="0.3">
      <c r="A89" s="40"/>
      <c r="B89" s="40"/>
      <c r="C89" s="40"/>
      <c r="D89" s="45" t="s">
        <v>114</v>
      </c>
    </row>
    <row r="90" spans="1:5" x14ac:dyDescent="0.25">
      <c r="A90" s="11" t="b">
        <v>1</v>
      </c>
      <c r="B90" s="12" t="b">
        <v>1</v>
      </c>
      <c r="C90" s="13" t="s">
        <v>498</v>
      </c>
      <c r="D90" s="42" t="s">
        <v>83</v>
      </c>
      <c r="E90" s="6" t="s">
        <v>520</v>
      </c>
    </row>
    <row r="91" spans="1:5" x14ac:dyDescent="0.25">
      <c r="A91" s="14" t="b">
        <v>1</v>
      </c>
      <c r="B91" s="39" t="b">
        <v>1</v>
      </c>
      <c r="C91" s="60" t="s">
        <v>488</v>
      </c>
      <c r="D91" s="43" t="s">
        <v>1</v>
      </c>
      <c r="E91" s="8"/>
    </row>
    <row r="92" spans="1:5" x14ac:dyDescent="0.25">
      <c r="A92" s="14" t="b">
        <v>1</v>
      </c>
      <c r="B92" s="39" t="b">
        <v>1</v>
      </c>
      <c r="C92" s="60" t="s">
        <v>488</v>
      </c>
      <c r="D92" s="43" t="s">
        <v>84</v>
      </c>
      <c r="E92" s="8" t="s">
        <v>468</v>
      </c>
    </row>
    <row r="93" spans="1:5" x14ac:dyDescent="0.25">
      <c r="A93" s="14" t="b">
        <v>1</v>
      </c>
      <c r="B93" s="39" t="b">
        <v>1</v>
      </c>
      <c r="C93" s="60" t="s">
        <v>488</v>
      </c>
      <c r="D93" s="43" t="s">
        <v>85</v>
      </c>
      <c r="E93" s="8"/>
    </row>
    <row r="94" spans="1:5" x14ac:dyDescent="0.25">
      <c r="A94" s="14" t="b">
        <v>1</v>
      </c>
      <c r="B94" s="39" t="b">
        <v>1</v>
      </c>
      <c r="C94" s="60" t="s">
        <v>488</v>
      </c>
      <c r="D94" s="43" t="s">
        <v>86</v>
      </c>
      <c r="E94" s="8"/>
    </row>
    <row r="95" spans="1:5" x14ac:dyDescent="0.25">
      <c r="A95" s="14" t="b">
        <v>1</v>
      </c>
      <c r="B95" s="39" t="b">
        <v>1</v>
      </c>
      <c r="C95" s="60" t="s">
        <v>488</v>
      </c>
      <c r="D95" s="43" t="s">
        <v>87</v>
      </c>
      <c r="E95" s="8"/>
    </row>
    <row r="96" spans="1:5" x14ac:dyDescent="0.25">
      <c r="A96" s="14" t="b">
        <v>1</v>
      </c>
      <c r="B96" s="39" t="b">
        <v>1</v>
      </c>
      <c r="C96" s="60" t="s">
        <v>498</v>
      </c>
      <c r="D96" s="43" t="s">
        <v>88</v>
      </c>
      <c r="E96" s="8" t="s">
        <v>515</v>
      </c>
    </row>
    <row r="97" spans="1:5" x14ac:dyDescent="0.25">
      <c r="A97" s="14" t="b">
        <v>1</v>
      </c>
      <c r="B97" s="39" t="b">
        <v>1</v>
      </c>
      <c r="C97" s="60" t="s">
        <v>488</v>
      </c>
      <c r="D97" s="43" t="s">
        <v>89</v>
      </c>
      <c r="E97" s="8"/>
    </row>
    <row r="98" spans="1:5" x14ac:dyDescent="0.25">
      <c r="A98" s="14" t="b">
        <v>1</v>
      </c>
      <c r="B98" s="39" t="b">
        <v>1</v>
      </c>
      <c r="C98" s="60" t="s">
        <v>488</v>
      </c>
      <c r="D98" s="43" t="s">
        <v>90</v>
      </c>
      <c r="E98" s="8"/>
    </row>
    <row r="99" spans="1:5" x14ac:dyDescent="0.25">
      <c r="A99" s="14" t="b">
        <v>1</v>
      </c>
      <c r="B99" s="39" t="b">
        <v>1</v>
      </c>
      <c r="C99" s="60" t="s">
        <v>488</v>
      </c>
      <c r="D99" s="43" t="s">
        <v>91</v>
      </c>
      <c r="E99" s="8"/>
    </row>
    <row r="100" spans="1:5" x14ac:dyDescent="0.25">
      <c r="A100" s="14" t="b">
        <v>1</v>
      </c>
      <c r="B100" s="39" t="b">
        <v>1</v>
      </c>
      <c r="C100" s="60" t="s">
        <v>498</v>
      </c>
      <c r="D100" s="43" t="s">
        <v>92</v>
      </c>
      <c r="E100" s="8" t="s">
        <v>520</v>
      </c>
    </row>
    <row r="101" spans="1:5" x14ac:dyDescent="0.25">
      <c r="A101" s="14" t="b">
        <v>1</v>
      </c>
      <c r="B101" s="39" t="b">
        <v>1</v>
      </c>
      <c r="C101" s="60" t="s">
        <v>488</v>
      </c>
      <c r="D101" s="43" t="s">
        <v>93</v>
      </c>
      <c r="E101" s="8"/>
    </row>
    <row r="102" spans="1:5" x14ac:dyDescent="0.25">
      <c r="A102" s="14" t="b">
        <v>1</v>
      </c>
      <c r="B102" s="39" t="b">
        <v>1</v>
      </c>
      <c r="C102" s="60" t="s">
        <v>488</v>
      </c>
      <c r="D102" s="43" t="s">
        <v>94</v>
      </c>
      <c r="E102" s="8"/>
    </row>
    <row r="103" spans="1:5" x14ac:dyDescent="0.25">
      <c r="A103" s="14" t="b">
        <v>1</v>
      </c>
      <c r="B103" s="39" t="b">
        <v>1</v>
      </c>
      <c r="C103" s="60" t="s">
        <v>488</v>
      </c>
      <c r="D103" s="43" t="s">
        <v>95</v>
      </c>
      <c r="E103" s="8"/>
    </row>
    <row r="104" spans="1:5" x14ac:dyDescent="0.25">
      <c r="A104" s="14" t="b">
        <v>0</v>
      </c>
      <c r="B104" s="39" t="b">
        <v>0</v>
      </c>
      <c r="C104" s="60" t="s">
        <v>497</v>
      </c>
      <c r="D104" s="43" t="s">
        <v>96</v>
      </c>
      <c r="E104" s="8" t="s">
        <v>518</v>
      </c>
    </row>
    <row r="105" spans="1:5" x14ac:dyDescent="0.25">
      <c r="A105" s="14" t="b">
        <v>1</v>
      </c>
      <c r="B105" s="39" t="b">
        <v>1</v>
      </c>
      <c r="C105" s="60" t="s">
        <v>488</v>
      </c>
      <c r="D105" s="43" t="s">
        <v>97</v>
      </c>
      <c r="E105" s="8"/>
    </row>
    <row r="106" spans="1:5" x14ac:dyDescent="0.25">
      <c r="A106" s="14" t="b">
        <v>0</v>
      </c>
      <c r="B106" s="39" t="b">
        <v>0</v>
      </c>
      <c r="C106" s="60" t="s">
        <v>497</v>
      </c>
      <c r="D106" s="43" t="s">
        <v>98</v>
      </c>
      <c r="E106" s="8" t="s">
        <v>475</v>
      </c>
    </row>
    <row r="107" spans="1:5" x14ac:dyDescent="0.25">
      <c r="A107" s="14" t="b">
        <v>0</v>
      </c>
      <c r="B107" s="39" t="b">
        <v>0</v>
      </c>
      <c r="C107" s="60" t="s">
        <v>497</v>
      </c>
      <c r="D107" s="43" t="s">
        <v>99</v>
      </c>
      <c r="E107" s="8" t="s">
        <v>475</v>
      </c>
    </row>
    <row r="108" spans="1:5" x14ac:dyDescent="0.25">
      <c r="A108" s="14" t="b">
        <v>0</v>
      </c>
      <c r="B108" s="39" t="b">
        <v>0</v>
      </c>
      <c r="C108" s="15" t="s">
        <v>497</v>
      </c>
      <c r="D108" s="43" t="s">
        <v>100</v>
      </c>
      <c r="E108" s="8" t="s">
        <v>471</v>
      </c>
    </row>
    <row r="109" spans="1:5" x14ac:dyDescent="0.25">
      <c r="A109" s="14" t="b">
        <v>0</v>
      </c>
      <c r="B109" s="39" t="b">
        <v>0</v>
      </c>
      <c r="C109" s="15" t="s">
        <v>497</v>
      </c>
      <c r="D109" s="43" t="s">
        <v>101</v>
      </c>
      <c r="E109" s="8" t="s">
        <v>471</v>
      </c>
    </row>
    <row r="110" spans="1:5" x14ac:dyDescent="0.25">
      <c r="A110" s="14" t="b">
        <v>0</v>
      </c>
      <c r="B110" s="39" t="b">
        <v>0</v>
      </c>
      <c r="C110" s="15" t="s">
        <v>497</v>
      </c>
      <c r="D110" s="43" t="s">
        <v>102</v>
      </c>
      <c r="E110" s="8" t="s">
        <v>471</v>
      </c>
    </row>
    <row r="111" spans="1:5" x14ac:dyDescent="0.25">
      <c r="A111" s="14" t="b">
        <v>0</v>
      </c>
      <c r="B111" s="39" t="b">
        <v>0</v>
      </c>
      <c r="C111" s="15" t="s">
        <v>497</v>
      </c>
      <c r="D111" s="43" t="s">
        <v>103</v>
      </c>
      <c r="E111" s="8" t="s">
        <v>471</v>
      </c>
    </row>
    <row r="112" spans="1:5" x14ac:dyDescent="0.25">
      <c r="A112" s="14" t="b">
        <v>1</v>
      </c>
      <c r="B112" s="39" t="b">
        <v>1</v>
      </c>
      <c r="C112" s="60" t="s">
        <v>498</v>
      </c>
      <c r="D112" s="43" t="s">
        <v>104</v>
      </c>
      <c r="E112" s="9" t="s">
        <v>514</v>
      </c>
    </row>
    <row r="113" spans="1:5" x14ac:dyDescent="0.25">
      <c r="A113" s="14" t="b">
        <v>1</v>
      </c>
      <c r="B113" s="39" t="b">
        <v>1</v>
      </c>
      <c r="C113" s="60" t="s">
        <v>488</v>
      </c>
      <c r="D113" s="43" t="s">
        <v>105</v>
      </c>
      <c r="E113" s="8"/>
    </row>
    <row r="114" spans="1:5" x14ac:dyDescent="0.25">
      <c r="A114" s="14" t="b">
        <v>0</v>
      </c>
      <c r="B114" s="39" t="b">
        <v>0</v>
      </c>
      <c r="C114" s="15" t="s">
        <v>497</v>
      </c>
      <c r="D114" s="43" t="s">
        <v>106</v>
      </c>
      <c r="E114" s="8" t="s">
        <v>474</v>
      </c>
    </row>
    <row r="115" spans="1:5" x14ac:dyDescent="0.25">
      <c r="A115" s="14" t="b">
        <v>0</v>
      </c>
      <c r="B115" s="39" t="b">
        <v>0</v>
      </c>
      <c r="C115" s="15" t="s">
        <v>497</v>
      </c>
      <c r="D115" s="43" t="s">
        <v>107</v>
      </c>
      <c r="E115" s="8" t="s">
        <v>474</v>
      </c>
    </row>
    <row r="116" spans="1:5" x14ac:dyDescent="0.25">
      <c r="A116" s="14" t="b">
        <v>0</v>
      </c>
      <c r="B116" s="39" t="b">
        <v>0</v>
      </c>
      <c r="C116" s="15" t="s">
        <v>497</v>
      </c>
      <c r="D116" s="43" t="s">
        <v>108</v>
      </c>
      <c r="E116" s="8" t="s">
        <v>475</v>
      </c>
    </row>
    <row r="117" spans="1:5" x14ac:dyDescent="0.25">
      <c r="A117" s="14" t="b">
        <v>0</v>
      </c>
      <c r="B117" s="39" t="b">
        <v>0</v>
      </c>
      <c r="C117" s="15" t="s">
        <v>497</v>
      </c>
      <c r="D117" s="43" t="s">
        <v>109</v>
      </c>
      <c r="E117" s="8" t="s">
        <v>475</v>
      </c>
    </row>
    <row r="118" spans="1:5" x14ac:dyDescent="0.25">
      <c r="A118" s="14" t="b">
        <v>1</v>
      </c>
      <c r="B118" s="39" t="b">
        <v>1</v>
      </c>
      <c r="C118" s="60" t="s">
        <v>488</v>
      </c>
      <c r="D118" s="43" t="s">
        <v>110</v>
      </c>
      <c r="E118" s="8"/>
    </row>
    <row r="119" spans="1:5" x14ac:dyDescent="0.25">
      <c r="A119" s="14" t="b">
        <v>1</v>
      </c>
      <c r="B119" s="39" t="b">
        <v>1</v>
      </c>
      <c r="C119" s="60" t="s">
        <v>488</v>
      </c>
      <c r="D119" s="43" t="s">
        <v>111</v>
      </c>
      <c r="E119" s="8"/>
    </row>
    <row r="120" spans="1:5" x14ac:dyDescent="0.25">
      <c r="A120" s="14" t="b">
        <v>0</v>
      </c>
      <c r="B120" s="39" t="b">
        <v>0</v>
      </c>
      <c r="C120" s="60" t="s">
        <v>497</v>
      </c>
      <c r="D120" s="43" t="s">
        <v>112</v>
      </c>
      <c r="E120" s="8" t="s">
        <v>577</v>
      </c>
    </row>
    <row r="121" spans="1:5" ht="15.75" thickBot="1" x14ac:dyDescent="0.3">
      <c r="A121" s="16" t="b">
        <v>0</v>
      </c>
      <c r="B121" s="17" t="b">
        <v>0</v>
      </c>
      <c r="C121" s="18" t="s">
        <v>497</v>
      </c>
      <c r="D121" s="44" t="s">
        <v>113</v>
      </c>
      <c r="E121" s="7" t="s">
        <v>577</v>
      </c>
    </row>
    <row r="122" spans="1:5" ht="15.75" thickBot="1" x14ac:dyDescent="0.3">
      <c r="A122" s="40"/>
      <c r="B122" s="40"/>
      <c r="C122" s="40"/>
      <c r="D122" s="45" t="s">
        <v>115</v>
      </c>
    </row>
    <row r="123" spans="1:5" x14ac:dyDescent="0.25">
      <c r="A123" s="11" t="b">
        <v>1</v>
      </c>
      <c r="B123" s="12" t="b">
        <v>1</v>
      </c>
      <c r="C123" s="13" t="s">
        <v>488</v>
      </c>
      <c r="D123" s="42" t="s">
        <v>116</v>
      </c>
      <c r="E123" s="6"/>
    </row>
    <row r="124" spans="1:5" x14ac:dyDescent="0.25">
      <c r="A124" s="14" t="b">
        <v>1</v>
      </c>
      <c r="B124" s="39" t="b">
        <v>1</v>
      </c>
      <c r="C124" s="60" t="s">
        <v>488</v>
      </c>
      <c r="D124" s="43" t="s">
        <v>1</v>
      </c>
      <c r="E124" s="8"/>
    </row>
    <row r="125" spans="1:5" x14ac:dyDescent="0.25">
      <c r="A125" s="14" t="b">
        <v>1</v>
      </c>
      <c r="B125" s="39" t="b">
        <v>1</v>
      </c>
      <c r="C125" s="60" t="s">
        <v>488</v>
      </c>
      <c r="D125" s="43" t="s">
        <v>117</v>
      </c>
      <c r="E125" s="8"/>
    </row>
    <row r="126" spans="1:5" x14ac:dyDescent="0.25">
      <c r="A126" s="14" t="b">
        <v>1</v>
      </c>
      <c r="B126" s="39" t="b">
        <v>1</v>
      </c>
      <c r="C126" s="60" t="s">
        <v>488</v>
      </c>
      <c r="D126" s="43" t="s">
        <v>118</v>
      </c>
      <c r="E126" s="8"/>
    </row>
    <row r="127" spans="1:5" x14ac:dyDescent="0.25">
      <c r="A127" s="14" t="b">
        <v>1</v>
      </c>
      <c r="B127" s="39" t="b">
        <v>1</v>
      </c>
      <c r="C127" s="60" t="s">
        <v>488</v>
      </c>
      <c r="D127" s="43" t="s">
        <v>119</v>
      </c>
      <c r="E127" s="8"/>
    </row>
    <row r="128" spans="1:5" x14ac:dyDescent="0.25">
      <c r="A128" s="14" t="b">
        <v>1</v>
      </c>
      <c r="B128" s="39" t="b">
        <v>1</v>
      </c>
      <c r="C128" s="60" t="s">
        <v>488</v>
      </c>
      <c r="D128" s="43" t="s">
        <v>120</v>
      </c>
      <c r="E128" s="8"/>
    </row>
    <row r="129" spans="1:5" x14ac:dyDescent="0.25">
      <c r="A129" s="14" t="b">
        <v>1</v>
      </c>
      <c r="B129" s="39" t="b">
        <v>1</v>
      </c>
      <c r="C129" s="60" t="s">
        <v>488</v>
      </c>
      <c r="D129" s="43" t="s">
        <v>121</v>
      </c>
      <c r="E129" s="8"/>
    </row>
    <row r="130" spans="1:5" x14ac:dyDescent="0.25">
      <c r="A130" s="14" t="b">
        <v>1</v>
      </c>
      <c r="B130" s="39" t="b">
        <v>1</v>
      </c>
      <c r="C130" s="60" t="s">
        <v>488</v>
      </c>
      <c r="D130" s="43" t="s">
        <v>122</v>
      </c>
      <c r="E130" s="8"/>
    </row>
    <row r="131" spans="1:5" x14ac:dyDescent="0.25">
      <c r="A131" s="14" t="b">
        <v>1</v>
      </c>
      <c r="B131" s="39" t="b">
        <v>1</v>
      </c>
      <c r="C131" s="60" t="s">
        <v>488</v>
      </c>
      <c r="D131" s="43" t="s">
        <v>123</v>
      </c>
      <c r="E131" s="8"/>
    </row>
    <row r="132" spans="1:5" x14ac:dyDescent="0.25">
      <c r="A132" s="14" t="b">
        <v>1</v>
      </c>
      <c r="B132" s="39" t="b">
        <v>1</v>
      </c>
      <c r="C132" s="60" t="s">
        <v>488</v>
      </c>
      <c r="D132" s="43" t="s">
        <v>124</v>
      </c>
      <c r="E132" s="8"/>
    </row>
    <row r="133" spans="1:5" x14ac:dyDescent="0.25">
      <c r="A133" s="14" t="b">
        <v>1</v>
      </c>
      <c r="B133" s="39" t="b">
        <v>1</v>
      </c>
      <c r="C133" s="60" t="s">
        <v>488</v>
      </c>
      <c r="D133" s="43" t="s">
        <v>125</v>
      </c>
      <c r="E133" s="8"/>
    </row>
    <row r="134" spans="1:5" x14ac:dyDescent="0.25">
      <c r="A134" s="14" t="b">
        <v>1</v>
      </c>
      <c r="B134" s="39" t="b">
        <v>1</v>
      </c>
      <c r="C134" s="60" t="s">
        <v>488</v>
      </c>
      <c r="D134" s="43" t="s">
        <v>126</v>
      </c>
      <c r="E134" s="8"/>
    </row>
    <row r="135" spans="1:5" x14ac:dyDescent="0.25">
      <c r="A135" s="14" t="b">
        <v>0</v>
      </c>
      <c r="B135" s="39" t="b">
        <v>0</v>
      </c>
      <c r="C135" s="15" t="s">
        <v>497</v>
      </c>
      <c r="D135" s="43" t="s">
        <v>127</v>
      </c>
      <c r="E135" s="8" t="s">
        <v>475</v>
      </c>
    </row>
    <row r="136" spans="1:5" ht="15.75" thickBot="1" x14ac:dyDescent="0.3">
      <c r="A136" s="16" t="b">
        <v>0</v>
      </c>
      <c r="B136" s="17" t="b">
        <v>0</v>
      </c>
      <c r="C136" s="18" t="s">
        <v>497</v>
      </c>
      <c r="D136" s="44" t="s">
        <v>128</v>
      </c>
      <c r="E136" s="7" t="s">
        <v>475</v>
      </c>
    </row>
    <row r="137" spans="1:5" ht="15.75" thickBot="1" x14ac:dyDescent="0.3">
      <c r="A137" s="40"/>
      <c r="B137" s="40"/>
      <c r="C137" s="40"/>
      <c r="D137" s="45" t="s">
        <v>129</v>
      </c>
    </row>
    <row r="138" spans="1:5" ht="30" x14ac:dyDescent="0.25">
      <c r="A138" s="11" t="b">
        <v>1</v>
      </c>
      <c r="B138" s="12" t="b">
        <v>1</v>
      </c>
      <c r="C138" s="13" t="s">
        <v>498</v>
      </c>
      <c r="D138" s="59" t="s">
        <v>509</v>
      </c>
      <c r="E138" s="66" t="s">
        <v>584</v>
      </c>
    </row>
    <row r="139" spans="1:5" x14ac:dyDescent="0.25">
      <c r="A139" s="14" t="b">
        <v>1</v>
      </c>
      <c r="B139" s="39" t="b">
        <v>1</v>
      </c>
      <c r="C139" s="60" t="s">
        <v>488</v>
      </c>
      <c r="D139" s="47" t="s">
        <v>1</v>
      </c>
      <c r="E139" s="8"/>
    </row>
    <row r="140" spans="1:5" x14ac:dyDescent="0.25">
      <c r="A140" s="14" t="b">
        <v>0</v>
      </c>
      <c r="B140" s="39" t="b">
        <v>0</v>
      </c>
      <c r="C140" s="15" t="s">
        <v>497</v>
      </c>
      <c r="D140" s="47" t="s">
        <v>130</v>
      </c>
      <c r="E140" s="8" t="s">
        <v>471</v>
      </c>
    </row>
    <row r="141" spans="1:5" x14ac:dyDescent="0.25">
      <c r="A141" s="14" t="b">
        <v>0</v>
      </c>
      <c r="B141" s="39" t="b">
        <v>0</v>
      </c>
      <c r="C141" s="15" t="s">
        <v>497</v>
      </c>
      <c r="D141" s="47" t="s">
        <v>131</v>
      </c>
      <c r="E141" s="8" t="s">
        <v>471</v>
      </c>
    </row>
    <row r="142" spans="1:5" x14ac:dyDescent="0.25">
      <c r="A142" s="14" t="b">
        <v>0</v>
      </c>
      <c r="B142" s="39" t="b">
        <v>0</v>
      </c>
      <c r="C142" s="15" t="s">
        <v>497</v>
      </c>
      <c r="D142" s="47" t="s">
        <v>132</v>
      </c>
      <c r="E142" s="8" t="s">
        <v>471</v>
      </c>
    </row>
    <row r="143" spans="1:5" x14ac:dyDescent="0.25">
      <c r="A143" s="14" t="b">
        <v>0</v>
      </c>
      <c r="B143" s="39" t="b">
        <v>0</v>
      </c>
      <c r="C143" s="15" t="s">
        <v>497</v>
      </c>
      <c r="D143" s="47" t="s">
        <v>133</v>
      </c>
      <c r="E143" s="8" t="s">
        <v>471</v>
      </c>
    </row>
    <row r="144" spans="1:5" x14ac:dyDescent="0.25">
      <c r="A144" s="14" t="b">
        <v>1</v>
      </c>
      <c r="B144" s="39" t="b">
        <v>1</v>
      </c>
      <c r="C144" s="15" t="s">
        <v>498</v>
      </c>
      <c r="D144" s="47" t="s">
        <v>134</v>
      </c>
      <c r="E144" s="8" t="s">
        <v>514</v>
      </c>
    </row>
    <row r="145" spans="1:5" x14ac:dyDescent="0.25">
      <c r="A145" s="14" t="b">
        <v>1</v>
      </c>
      <c r="B145" s="39" t="b">
        <v>1</v>
      </c>
      <c r="C145" s="15" t="s">
        <v>488</v>
      </c>
      <c r="D145" s="47" t="s">
        <v>135</v>
      </c>
      <c r="E145" s="8"/>
    </row>
    <row r="146" spans="1:5" x14ac:dyDescent="0.25">
      <c r="A146" s="14" t="b">
        <v>1</v>
      </c>
      <c r="B146" s="39" t="b">
        <v>1</v>
      </c>
      <c r="C146" s="15" t="s">
        <v>488</v>
      </c>
      <c r="D146" s="47" t="s">
        <v>136</v>
      </c>
      <c r="E146" s="8"/>
    </row>
    <row r="147" spans="1:5" x14ac:dyDescent="0.25">
      <c r="A147" s="14" t="b">
        <v>1</v>
      </c>
      <c r="B147" s="39" t="b">
        <v>1</v>
      </c>
      <c r="C147" s="15" t="s">
        <v>488</v>
      </c>
      <c r="D147" s="47" t="s">
        <v>137</v>
      </c>
      <c r="E147" s="8"/>
    </row>
    <row r="148" spans="1:5" x14ac:dyDescent="0.25">
      <c r="A148" s="14" t="b">
        <v>1</v>
      </c>
      <c r="B148" s="39" t="b">
        <v>1</v>
      </c>
      <c r="C148" s="15" t="s">
        <v>498</v>
      </c>
      <c r="D148" s="47" t="s">
        <v>138</v>
      </c>
      <c r="E148" s="8" t="s">
        <v>581</v>
      </c>
    </row>
    <row r="149" spans="1:5" x14ac:dyDescent="0.25">
      <c r="A149" s="14" t="b">
        <v>1</v>
      </c>
      <c r="B149" s="39" t="b">
        <v>1</v>
      </c>
      <c r="C149" s="15" t="s">
        <v>498</v>
      </c>
      <c r="D149" s="47" t="s">
        <v>139</v>
      </c>
      <c r="E149" s="8" t="s">
        <v>581</v>
      </c>
    </row>
    <row r="150" spans="1:5" x14ac:dyDescent="0.25">
      <c r="A150" s="14" t="b">
        <v>1</v>
      </c>
      <c r="B150" s="39" t="b">
        <v>1</v>
      </c>
      <c r="C150" s="15" t="s">
        <v>488</v>
      </c>
      <c r="D150" s="47" t="s">
        <v>140</v>
      </c>
      <c r="E150" s="8"/>
    </row>
    <row r="151" spans="1:5" x14ac:dyDescent="0.25">
      <c r="A151" s="14" t="b">
        <v>1</v>
      </c>
      <c r="B151" s="39" t="b">
        <v>1</v>
      </c>
      <c r="C151" s="15" t="s">
        <v>488</v>
      </c>
      <c r="D151" s="47" t="s">
        <v>141</v>
      </c>
      <c r="E151" s="8"/>
    </row>
    <row r="152" spans="1:5" x14ac:dyDescent="0.25">
      <c r="A152" s="14" t="b">
        <v>0</v>
      </c>
      <c r="B152" s="39" t="b">
        <v>0</v>
      </c>
      <c r="C152" s="15" t="s">
        <v>497</v>
      </c>
      <c r="D152" s="47" t="s">
        <v>142</v>
      </c>
      <c r="E152" s="8" t="s">
        <v>475</v>
      </c>
    </row>
    <row r="153" spans="1:5" x14ac:dyDescent="0.25">
      <c r="A153" s="14" t="b">
        <v>0</v>
      </c>
      <c r="B153" s="39" t="b">
        <v>0</v>
      </c>
      <c r="C153" s="15" t="s">
        <v>497</v>
      </c>
      <c r="D153" s="47" t="s">
        <v>143</v>
      </c>
      <c r="E153" s="8" t="s">
        <v>475</v>
      </c>
    </row>
    <row r="154" spans="1:5" x14ac:dyDescent="0.25">
      <c r="A154" s="14" t="b">
        <v>0</v>
      </c>
      <c r="B154" s="39" t="b">
        <v>0</v>
      </c>
      <c r="C154" s="15" t="s">
        <v>497</v>
      </c>
      <c r="D154" s="47" t="s">
        <v>144</v>
      </c>
      <c r="E154" s="8" t="s">
        <v>577</v>
      </c>
    </row>
    <row r="155" spans="1:5" x14ac:dyDescent="0.25">
      <c r="A155" s="14" t="b">
        <v>0</v>
      </c>
      <c r="B155" s="39" t="b">
        <v>0</v>
      </c>
      <c r="C155" s="15" t="s">
        <v>497</v>
      </c>
      <c r="D155" s="47" t="s">
        <v>145</v>
      </c>
      <c r="E155" s="8" t="s">
        <v>577</v>
      </c>
    </row>
    <row r="156" spans="1:5" x14ac:dyDescent="0.25">
      <c r="A156" s="14" t="b">
        <v>0</v>
      </c>
      <c r="B156" s="39" t="b">
        <v>0</v>
      </c>
      <c r="C156" s="15" t="s">
        <v>497</v>
      </c>
      <c r="D156" s="47" t="s">
        <v>146</v>
      </c>
      <c r="E156" s="8" t="s">
        <v>577</v>
      </c>
    </row>
    <row r="157" spans="1:5" x14ac:dyDescent="0.25">
      <c r="A157" s="14" t="b">
        <v>0</v>
      </c>
      <c r="B157" s="39" t="b">
        <v>0</v>
      </c>
      <c r="C157" s="15" t="s">
        <v>497</v>
      </c>
      <c r="D157" s="47" t="s">
        <v>147</v>
      </c>
      <c r="E157" s="8" t="s">
        <v>577</v>
      </c>
    </row>
    <row r="158" spans="1:5" x14ac:dyDescent="0.25">
      <c r="A158" s="14" t="b">
        <v>1</v>
      </c>
      <c r="B158" s="39" t="b">
        <v>1</v>
      </c>
      <c r="C158" s="15" t="s">
        <v>488</v>
      </c>
      <c r="D158" s="47" t="s">
        <v>148</v>
      </c>
      <c r="E158" s="8"/>
    </row>
    <row r="159" spans="1:5" x14ac:dyDescent="0.25">
      <c r="A159" s="14" t="b">
        <v>1</v>
      </c>
      <c r="B159" s="39" t="b">
        <v>1</v>
      </c>
      <c r="C159" s="15" t="s">
        <v>488</v>
      </c>
      <c r="D159" s="47" t="s">
        <v>149</v>
      </c>
      <c r="E159" s="8"/>
    </row>
    <row r="160" spans="1:5" x14ac:dyDescent="0.25">
      <c r="A160" s="14" t="b">
        <v>0</v>
      </c>
      <c r="B160" s="39" t="b">
        <v>0</v>
      </c>
      <c r="C160" s="15" t="s">
        <v>497</v>
      </c>
      <c r="D160" s="47" t="s">
        <v>150</v>
      </c>
      <c r="E160" s="8" t="s">
        <v>577</v>
      </c>
    </row>
    <row r="161" spans="1:5" x14ac:dyDescent="0.25">
      <c r="A161" s="14" t="b">
        <v>0</v>
      </c>
      <c r="B161" s="39" t="b">
        <v>0</v>
      </c>
      <c r="C161" s="15" t="s">
        <v>497</v>
      </c>
      <c r="D161" s="47" t="s">
        <v>151</v>
      </c>
      <c r="E161" s="8" t="s">
        <v>577</v>
      </c>
    </row>
    <row r="162" spans="1:5" x14ac:dyDescent="0.25">
      <c r="A162" s="14" t="b">
        <v>0</v>
      </c>
      <c r="B162" s="39" t="b">
        <v>0</v>
      </c>
      <c r="C162" s="15" t="s">
        <v>497</v>
      </c>
      <c r="D162" s="47" t="s">
        <v>152</v>
      </c>
      <c r="E162" s="8" t="s">
        <v>577</v>
      </c>
    </row>
    <row r="163" spans="1:5" x14ac:dyDescent="0.25">
      <c r="A163" s="14" t="b">
        <v>0</v>
      </c>
      <c r="B163" s="39" t="b">
        <v>0</v>
      </c>
      <c r="C163" s="15" t="s">
        <v>497</v>
      </c>
      <c r="D163" s="47" t="s">
        <v>153</v>
      </c>
      <c r="E163" s="8" t="s">
        <v>577</v>
      </c>
    </row>
    <row r="164" spans="1:5" x14ac:dyDescent="0.25">
      <c r="A164" s="14" t="b">
        <v>0</v>
      </c>
      <c r="B164" s="39" t="b">
        <v>0</v>
      </c>
      <c r="C164" s="15" t="s">
        <v>497</v>
      </c>
      <c r="D164" s="47" t="s">
        <v>154</v>
      </c>
      <c r="E164" s="8" t="s">
        <v>577</v>
      </c>
    </row>
    <row r="165" spans="1:5" x14ac:dyDescent="0.25">
      <c r="A165" s="14" t="b">
        <v>0</v>
      </c>
      <c r="B165" s="39" t="b">
        <v>0</v>
      </c>
      <c r="C165" s="15" t="s">
        <v>497</v>
      </c>
      <c r="D165" s="47" t="s">
        <v>155</v>
      </c>
      <c r="E165" s="8" t="s">
        <v>577</v>
      </c>
    </row>
    <row r="166" spans="1:5" x14ac:dyDescent="0.25">
      <c r="A166" s="14" t="b">
        <v>0</v>
      </c>
      <c r="B166" s="39" t="b">
        <v>0</v>
      </c>
      <c r="C166" s="15" t="s">
        <v>497</v>
      </c>
      <c r="D166" s="47" t="s">
        <v>156</v>
      </c>
      <c r="E166" s="8" t="s">
        <v>577</v>
      </c>
    </row>
    <row r="167" spans="1:5" x14ac:dyDescent="0.25">
      <c r="A167" s="14" t="b">
        <v>0</v>
      </c>
      <c r="B167" s="39" t="b">
        <v>0</v>
      </c>
      <c r="C167" s="15" t="s">
        <v>497</v>
      </c>
      <c r="D167" s="47" t="s">
        <v>157</v>
      </c>
      <c r="E167" s="8" t="s">
        <v>577</v>
      </c>
    </row>
    <row r="168" spans="1:5" x14ac:dyDescent="0.25">
      <c r="A168" s="14" t="b">
        <v>0</v>
      </c>
      <c r="B168" s="39" t="b">
        <v>0</v>
      </c>
      <c r="C168" s="15" t="s">
        <v>497</v>
      </c>
      <c r="D168" s="47" t="s">
        <v>158</v>
      </c>
      <c r="E168" s="8" t="s">
        <v>577</v>
      </c>
    </row>
    <row r="169" spans="1:5" x14ac:dyDescent="0.25">
      <c r="A169" s="14" t="b">
        <v>0</v>
      </c>
      <c r="B169" s="39" t="b">
        <v>0</v>
      </c>
      <c r="C169" s="15" t="s">
        <v>497</v>
      </c>
      <c r="D169" s="47" t="s">
        <v>159</v>
      </c>
      <c r="E169" s="8" t="s">
        <v>577</v>
      </c>
    </row>
    <row r="170" spans="1:5" x14ac:dyDescent="0.25">
      <c r="A170" s="14" t="b">
        <v>0</v>
      </c>
      <c r="B170" s="39" t="b">
        <v>0</v>
      </c>
      <c r="C170" s="15" t="s">
        <v>497</v>
      </c>
      <c r="D170" s="47" t="s">
        <v>160</v>
      </c>
      <c r="E170" s="8" t="s">
        <v>577</v>
      </c>
    </row>
    <row r="171" spans="1:5" x14ac:dyDescent="0.25">
      <c r="A171" s="14" t="b">
        <v>0</v>
      </c>
      <c r="B171" s="39" t="b">
        <v>0</v>
      </c>
      <c r="C171" s="15" t="s">
        <v>497</v>
      </c>
      <c r="D171" s="47" t="s">
        <v>161</v>
      </c>
      <c r="E171" s="8" t="s">
        <v>577</v>
      </c>
    </row>
    <row r="172" spans="1:5" ht="30" x14ac:dyDescent="0.25">
      <c r="A172" s="14" t="b">
        <v>1</v>
      </c>
      <c r="B172" s="39" t="b">
        <v>1</v>
      </c>
      <c r="C172" s="15" t="s">
        <v>498</v>
      </c>
      <c r="D172" s="47" t="s">
        <v>162</v>
      </c>
      <c r="E172" s="9" t="s">
        <v>580</v>
      </c>
    </row>
    <row r="173" spans="1:5" ht="30" x14ac:dyDescent="0.25">
      <c r="A173" s="14" t="b">
        <v>1</v>
      </c>
      <c r="B173" s="39" t="b">
        <v>1</v>
      </c>
      <c r="C173" s="15" t="s">
        <v>498</v>
      </c>
      <c r="D173" s="47" t="s">
        <v>163</v>
      </c>
      <c r="E173" s="9" t="s">
        <v>580</v>
      </c>
    </row>
    <row r="174" spans="1:5" x14ac:dyDescent="0.25">
      <c r="A174" s="14" t="b">
        <v>1</v>
      </c>
      <c r="B174" s="39" t="b">
        <v>1</v>
      </c>
      <c r="C174" s="15" t="s">
        <v>488</v>
      </c>
      <c r="D174" s="47" t="s">
        <v>164</v>
      </c>
      <c r="E174" s="8"/>
    </row>
    <row r="175" spans="1:5" x14ac:dyDescent="0.25">
      <c r="A175" s="14" t="b">
        <v>1</v>
      </c>
      <c r="B175" s="39" t="b">
        <v>1</v>
      </c>
      <c r="C175" s="15" t="s">
        <v>488</v>
      </c>
      <c r="D175" s="47" t="s">
        <v>165</v>
      </c>
      <c r="E175" s="8"/>
    </row>
    <row r="176" spans="1:5" x14ac:dyDescent="0.25">
      <c r="A176" s="14" t="b">
        <v>1</v>
      </c>
      <c r="B176" s="39" t="b">
        <v>1</v>
      </c>
      <c r="C176" s="15" t="s">
        <v>488</v>
      </c>
      <c r="D176" s="47" t="s">
        <v>166</v>
      </c>
      <c r="E176" s="8"/>
    </row>
    <row r="177" spans="1:5" ht="15.75" thickBot="1" x14ac:dyDescent="0.3">
      <c r="A177" s="16" t="b">
        <v>1</v>
      </c>
      <c r="B177" s="17" t="b">
        <v>1</v>
      </c>
      <c r="C177" s="18" t="s">
        <v>488</v>
      </c>
      <c r="D177" s="48" t="s">
        <v>167</v>
      </c>
      <c r="E177" s="7"/>
    </row>
    <row r="178" spans="1:5" ht="15.75" thickBot="1" x14ac:dyDescent="0.3">
      <c r="A178" s="40"/>
      <c r="B178" s="40"/>
      <c r="C178" s="40"/>
      <c r="D178" s="45" t="s">
        <v>188</v>
      </c>
    </row>
    <row r="179" spans="1:5" x14ac:dyDescent="0.25">
      <c r="A179" s="11" t="b">
        <v>1</v>
      </c>
      <c r="B179" s="12" t="b">
        <v>1</v>
      </c>
      <c r="C179" s="13" t="s">
        <v>498</v>
      </c>
      <c r="D179" s="42" t="s">
        <v>168</v>
      </c>
      <c r="E179" s="6" t="s">
        <v>585</v>
      </c>
    </row>
    <row r="180" spans="1:5" x14ac:dyDescent="0.25">
      <c r="A180" s="14" t="b">
        <v>1</v>
      </c>
      <c r="B180" s="39" t="b">
        <v>1</v>
      </c>
      <c r="C180" s="15" t="s">
        <v>488</v>
      </c>
      <c r="D180" s="43" t="s">
        <v>1</v>
      </c>
      <c r="E180" s="8"/>
    </row>
    <row r="181" spans="1:5" x14ac:dyDescent="0.25">
      <c r="A181" s="14" t="b">
        <v>0</v>
      </c>
      <c r="B181" s="39" t="b">
        <v>0</v>
      </c>
      <c r="C181" s="15" t="s">
        <v>497</v>
      </c>
      <c r="D181" s="43" t="s">
        <v>169</v>
      </c>
      <c r="E181" s="8" t="s">
        <v>471</v>
      </c>
    </row>
    <row r="182" spans="1:5" x14ac:dyDescent="0.25">
      <c r="A182" s="14" t="b">
        <v>0</v>
      </c>
      <c r="B182" s="39" t="b">
        <v>0</v>
      </c>
      <c r="C182" s="15" t="s">
        <v>497</v>
      </c>
      <c r="D182" s="43" t="s">
        <v>170</v>
      </c>
      <c r="E182" s="8" t="s">
        <v>471</v>
      </c>
    </row>
    <row r="183" spans="1:5" x14ac:dyDescent="0.25">
      <c r="A183" s="14" t="b">
        <v>1</v>
      </c>
      <c r="B183" s="39" t="b">
        <v>1</v>
      </c>
      <c r="C183" s="15" t="s">
        <v>488</v>
      </c>
      <c r="D183" s="43" t="s">
        <v>171</v>
      </c>
      <c r="E183" s="8"/>
    </row>
    <row r="184" spans="1:5" x14ac:dyDescent="0.25">
      <c r="A184" s="14" t="b">
        <v>1</v>
      </c>
      <c r="B184" s="39" t="b">
        <v>1</v>
      </c>
      <c r="C184" s="15" t="s">
        <v>488</v>
      </c>
      <c r="D184" s="43" t="s">
        <v>172</v>
      </c>
      <c r="E184" s="8"/>
    </row>
    <row r="185" spans="1:5" x14ac:dyDescent="0.25">
      <c r="A185" s="14" t="b">
        <v>1</v>
      </c>
      <c r="B185" s="39" t="b">
        <v>1</v>
      </c>
      <c r="C185" s="15" t="s">
        <v>498</v>
      </c>
      <c r="D185" s="43" t="s">
        <v>173</v>
      </c>
      <c r="E185" s="8" t="s">
        <v>515</v>
      </c>
    </row>
    <row r="186" spans="1:5" x14ac:dyDescent="0.25">
      <c r="A186" s="14" t="b">
        <v>1</v>
      </c>
      <c r="B186" s="39" t="b">
        <v>1</v>
      </c>
      <c r="C186" s="15" t="s">
        <v>498</v>
      </c>
      <c r="D186" s="43" t="s">
        <v>174</v>
      </c>
      <c r="E186" s="8" t="s">
        <v>515</v>
      </c>
    </row>
    <row r="187" spans="1:5" x14ac:dyDescent="0.25">
      <c r="A187" s="14" t="b">
        <v>1</v>
      </c>
      <c r="B187" s="39" t="b">
        <v>1</v>
      </c>
      <c r="C187" s="15" t="s">
        <v>488</v>
      </c>
      <c r="D187" s="43" t="s">
        <v>175</v>
      </c>
      <c r="E187" s="8"/>
    </row>
    <row r="188" spans="1:5" x14ac:dyDescent="0.25">
      <c r="A188" s="14" t="b">
        <v>1</v>
      </c>
      <c r="B188" s="39" t="b">
        <v>1</v>
      </c>
      <c r="C188" s="15" t="s">
        <v>488</v>
      </c>
      <c r="D188" s="43" t="s">
        <v>176</v>
      </c>
      <c r="E188" s="8"/>
    </row>
    <row r="189" spans="1:5" x14ac:dyDescent="0.25">
      <c r="A189" s="14" t="b">
        <v>0</v>
      </c>
      <c r="B189" s="39" t="b">
        <v>0</v>
      </c>
      <c r="C189" s="15" t="s">
        <v>497</v>
      </c>
      <c r="D189" s="43" t="s">
        <v>177</v>
      </c>
      <c r="E189" s="8" t="s">
        <v>582</v>
      </c>
    </row>
    <row r="190" spans="1:5" x14ac:dyDescent="0.25">
      <c r="A190" s="14" t="b">
        <v>0</v>
      </c>
      <c r="B190" s="39" t="b">
        <v>0</v>
      </c>
      <c r="C190" s="15" t="s">
        <v>497</v>
      </c>
      <c r="D190" s="43" t="s">
        <v>178</v>
      </c>
      <c r="E190" s="8" t="s">
        <v>582</v>
      </c>
    </row>
    <row r="191" spans="1:5" x14ac:dyDescent="0.25">
      <c r="A191" s="14" t="b">
        <v>0</v>
      </c>
      <c r="B191" s="39" t="b">
        <v>0</v>
      </c>
      <c r="C191" s="15" t="s">
        <v>497</v>
      </c>
      <c r="D191" s="43" t="s">
        <v>179</v>
      </c>
      <c r="E191" s="8" t="s">
        <v>583</v>
      </c>
    </row>
    <row r="192" spans="1:5" x14ac:dyDescent="0.25">
      <c r="A192" s="14" t="b">
        <v>0</v>
      </c>
      <c r="B192" s="39" t="b">
        <v>0</v>
      </c>
      <c r="C192" s="15" t="s">
        <v>497</v>
      </c>
      <c r="D192" s="43" t="s">
        <v>180</v>
      </c>
      <c r="E192" s="8" t="s">
        <v>582</v>
      </c>
    </row>
    <row r="193" spans="1:5" x14ac:dyDescent="0.25">
      <c r="A193" s="14" t="b">
        <v>0</v>
      </c>
      <c r="B193" s="39" t="b">
        <v>0</v>
      </c>
      <c r="C193" s="15" t="s">
        <v>497</v>
      </c>
      <c r="D193" s="43" t="s">
        <v>181</v>
      </c>
      <c r="E193" s="8" t="s">
        <v>582</v>
      </c>
    </row>
    <row r="194" spans="1:5" x14ac:dyDescent="0.25">
      <c r="A194" s="14" t="b">
        <v>0</v>
      </c>
      <c r="B194" s="39" t="b">
        <v>0</v>
      </c>
      <c r="C194" s="15" t="s">
        <v>497</v>
      </c>
      <c r="D194" s="43" t="s">
        <v>182</v>
      </c>
      <c r="E194" s="8" t="s">
        <v>582</v>
      </c>
    </row>
    <row r="195" spans="1:5" x14ac:dyDescent="0.25">
      <c r="A195" s="14" t="b">
        <v>0</v>
      </c>
      <c r="B195" s="39" t="b">
        <v>0</v>
      </c>
      <c r="C195" s="15" t="s">
        <v>497</v>
      </c>
      <c r="D195" s="43" t="s">
        <v>183</v>
      </c>
      <c r="E195" s="8" t="s">
        <v>582</v>
      </c>
    </row>
    <row r="196" spans="1:5" x14ac:dyDescent="0.25">
      <c r="A196" s="14" t="b">
        <v>0</v>
      </c>
      <c r="B196" s="39" t="b">
        <v>0</v>
      </c>
      <c r="C196" s="15" t="s">
        <v>497</v>
      </c>
      <c r="D196" s="43" t="s">
        <v>184</v>
      </c>
      <c r="E196" s="8" t="s">
        <v>475</v>
      </c>
    </row>
    <row r="197" spans="1:5" x14ac:dyDescent="0.25">
      <c r="A197" s="14" t="b">
        <v>0</v>
      </c>
      <c r="B197" s="39" t="b">
        <v>0</v>
      </c>
      <c r="C197" s="15" t="s">
        <v>497</v>
      </c>
      <c r="D197" s="43" t="s">
        <v>185</v>
      </c>
      <c r="E197" s="8" t="s">
        <v>475</v>
      </c>
    </row>
    <row r="198" spans="1:5" x14ac:dyDescent="0.25">
      <c r="A198" s="14" t="b">
        <v>0</v>
      </c>
      <c r="B198" s="39" t="b">
        <v>0</v>
      </c>
      <c r="C198" s="15" t="s">
        <v>497</v>
      </c>
      <c r="D198" s="43" t="s">
        <v>186</v>
      </c>
      <c r="E198" s="8" t="s">
        <v>475</v>
      </c>
    </row>
    <row r="199" spans="1:5" ht="15.75" thickBot="1" x14ac:dyDescent="0.3">
      <c r="A199" s="16" t="b">
        <v>0</v>
      </c>
      <c r="B199" s="17" t="b">
        <v>0</v>
      </c>
      <c r="C199" s="18" t="s">
        <v>497</v>
      </c>
      <c r="D199" s="44" t="s">
        <v>187</v>
      </c>
      <c r="E199" s="7" t="s">
        <v>475</v>
      </c>
    </row>
    <row r="200" spans="1:5" ht="15.75" thickBot="1" x14ac:dyDescent="0.3">
      <c r="A200" s="40"/>
      <c r="B200" s="40"/>
      <c r="C200" s="40"/>
      <c r="D200" s="45" t="s">
        <v>189</v>
      </c>
    </row>
    <row r="201" spans="1:5" x14ac:dyDescent="0.25">
      <c r="A201" s="11" t="b">
        <v>1</v>
      </c>
      <c r="B201" s="12" t="b">
        <v>1</v>
      </c>
      <c r="C201" s="13" t="s">
        <v>488</v>
      </c>
      <c r="D201" s="42" t="s">
        <v>3</v>
      </c>
      <c r="E201" s="6"/>
    </row>
    <row r="202" spans="1:5" ht="15.75" thickBot="1" x14ac:dyDescent="0.3">
      <c r="A202" s="16" t="b">
        <v>1</v>
      </c>
      <c r="B202" s="17" t="b">
        <v>1</v>
      </c>
      <c r="C202" s="18" t="s">
        <v>488</v>
      </c>
      <c r="D202" s="44" t="s">
        <v>5</v>
      </c>
      <c r="E202" s="7"/>
    </row>
    <row r="203" spans="1:5" ht="15.75" thickBot="1" x14ac:dyDescent="0.3">
      <c r="A203" s="40"/>
      <c r="B203" s="40"/>
      <c r="C203" s="40"/>
      <c r="D203" s="45" t="s">
        <v>190</v>
      </c>
    </row>
    <row r="204" spans="1:5" x14ac:dyDescent="0.25">
      <c r="A204" s="11" t="b">
        <v>0</v>
      </c>
      <c r="B204" s="12" t="b">
        <v>0</v>
      </c>
      <c r="C204" s="13" t="s">
        <v>497</v>
      </c>
      <c r="D204" s="46" t="s">
        <v>191</v>
      </c>
      <c r="E204" s="6" t="s">
        <v>475</v>
      </c>
    </row>
    <row r="205" spans="1:5" x14ac:dyDescent="0.25">
      <c r="A205" s="14" t="b">
        <v>0</v>
      </c>
      <c r="B205" s="39" t="b">
        <v>0</v>
      </c>
      <c r="C205" s="15" t="s">
        <v>497</v>
      </c>
      <c r="D205" s="47" t="s">
        <v>128</v>
      </c>
      <c r="E205" s="8" t="s">
        <v>475</v>
      </c>
    </row>
    <row r="206" spans="1:5" x14ac:dyDescent="0.25">
      <c r="A206" s="14" t="b">
        <v>0</v>
      </c>
      <c r="B206" s="39" t="b">
        <v>0</v>
      </c>
      <c r="C206" s="15" t="s">
        <v>497</v>
      </c>
      <c r="D206" s="47" t="s">
        <v>98</v>
      </c>
      <c r="E206" s="8" t="s">
        <v>475</v>
      </c>
    </row>
    <row r="207" spans="1:5" x14ac:dyDescent="0.25">
      <c r="A207" s="14" t="b">
        <v>0</v>
      </c>
      <c r="B207" s="39" t="b">
        <v>0</v>
      </c>
      <c r="C207" s="15" t="s">
        <v>497</v>
      </c>
      <c r="D207" s="47" t="s">
        <v>99</v>
      </c>
      <c r="E207" s="8" t="s">
        <v>475</v>
      </c>
    </row>
    <row r="208" spans="1:5" x14ac:dyDescent="0.25">
      <c r="A208" s="14" t="b">
        <v>0</v>
      </c>
      <c r="B208" s="39" t="b">
        <v>0</v>
      </c>
      <c r="C208" s="15" t="s">
        <v>497</v>
      </c>
      <c r="D208" s="47" t="s">
        <v>108</v>
      </c>
      <c r="E208" s="8" t="s">
        <v>475</v>
      </c>
    </row>
    <row r="209" spans="1:5" x14ac:dyDescent="0.25">
      <c r="A209" s="14" t="b">
        <v>0</v>
      </c>
      <c r="B209" s="39" t="b">
        <v>0</v>
      </c>
      <c r="C209" s="15" t="s">
        <v>497</v>
      </c>
      <c r="D209" s="47" t="s">
        <v>109</v>
      </c>
      <c r="E209" s="8" t="s">
        <v>475</v>
      </c>
    </row>
    <row r="210" spans="1:5" x14ac:dyDescent="0.25">
      <c r="A210" s="14" t="b">
        <v>0</v>
      </c>
      <c r="B210" s="39" t="b">
        <v>0</v>
      </c>
      <c r="C210" s="15" t="s">
        <v>497</v>
      </c>
      <c r="D210" s="47" t="s">
        <v>192</v>
      </c>
      <c r="E210" s="8" t="s">
        <v>475</v>
      </c>
    </row>
    <row r="211" spans="1:5" x14ac:dyDescent="0.25">
      <c r="A211" s="14" t="b">
        <v>0</v>
      </c>
      <c r="B211" s="39" t="b">
        <v>0</v>
      </c>
      <c r="C211" s="15" t="s">
        <v>497</v>
      </c>
      <c r="D211" s="47" t="s">
        <v>193</v>
      </c>
      <c r="E211" s="8" t="s">
        <v>475</v>
      </c>
    </row>
    <row r="212" spans="1:5" x14ac:dyDescent="0.25">
      <c r="A212" s="14" t="b">
        <v>0</v>
      </c>
      <c r="B212" s="39" t="b">
        <v>0</v>
      </c>
      <c r="C212" s="15" t="s">
        <v>497</v>
      </c>
      <c r="D212" s="47" t="s">
        <v>79</v>
      </c>
      <c r="E212" s="8" t="s">
        <v>475</v>
      </c>
    </row>
    <row r="213" spans="1:5" x14ac:dyDescent="0.25">
      <c r="A213" s="14" t="b">
        <v>0</v>
      </c>
      <c r="B213" s="39" t="b">
        <v>0</v>
      </c>
      <c r="C213" s="15" t="s">
        <v>497</v>
      </c>
      <c r="D213" s="47" t="s">
        <v>80</v>
      </c>
      <c r="E213" s="8" t="s">
        <v>475</v>
      </c>
    </row>
    <row r="214" spans="1:5" x14ac:dyDescent="0.25">
      <c r="A214" s="14" t="b">
        <v>0</v>
      </c>
      <c r="B214" s="39" t="b">
        <v>0</v>
      </c>
      <c r="C214" s="15" t="s">
        <v>497</v>
      </c>
      <c r="D214" s="47" t="s">
        <v>184</v>
      </c>
      <c r="E214" s="8" t="s">
        <v>475</v>
      </c>
    </row>
    <row r="215" spans="1:5" x14ac:dyDescent="0.25">
      <c r="A215" s="14" t="b">
        <v>0</v>
      </c>
      <c r="B215" s="39" t="b">
        <v>0</v>
      </c>
      <c r="C215" s="15" t="s">
        <v>497</v>
      </c>
      <c r="D215" s="47" t="s">
        <v>186</v>
      </c>
      <c r="E215" s="8" t="s">
        <v>475</v>
      </c>
    </row>
    <row r="216" spans="1:5" x14ac:dyDescent="0.25">
      <c r="A216" s="14" t="b">
        <v>0</v>
      </c>
      <c r="B216" s="39" t="b">
        <v>0</v>
      </c>
      <c r="C216" s="15" t="s">
        <v>497</v>
      </c>
      <c r="D216" s="47" t="s">
        <v>142</v>
      </c>
      <c r="E216" s="8" t="s">
        <v>475</v>
      </c>
    </row>
    <row r="217" spans="1:5" x14ac:dyDescent="0.25">
      <c r="A217" s="14" t="b">
        <v>0</v>
      </c>
      <c r="B217" s="39" t="b">
        <v>0</v>
      </c>
      <c r="C217" s="15" t="s">
        <v>497</v>
      </c>
      <c r="D217" s="47" t="s">
        <v>143</v>
      </c>
      <c r="E217" s="8" t="s">
        <v>475</v>
      </c>
    </row>
    <row r="218" spans="1:5" x14ac:dyDescent="0.25">
      <c r="A218" s="14" t="b">
        <v>0</v>
      </c>
      <c r="B218" s="39" t="b">
        <v>0</v>
      </c>
      <c r="C218" s="15" t="s">
        <v>497</v>
      </c>
      <c r="D218" s="47" t="s">
        <v>34</v>
      </c>
      <c r="E218" s="8" t="s">
        <v>475</v>
      </c>
    </row>
    <row r="219" spans="1:5" x14ac:dyDescent="0.25">
      <c r="A219" s="14" t="b">
        <v>0</v>
      </c>
      <c r="B219" s="39" t="b">
        <v>0</v>
      </c>
      <c r="C219" s="15" t="s">
        <v>497</v>
      </c>
      <c r="D219" s="47" t="s">
        <v>35</v>
      </c>
      <c r="E219" s="8" t="s">
        <v>475</v>
      </c>
    </row>
    <row r="220" spans="1:5" x14ac:dyDescent="0.25">
      <c r="A220" s="14" t="b">
        <v>0</v>
      </c>
      <c r="B220" s="39" t="b">
        <v>0</v>
      </c>
      <c r="C220" s="15" t="s">
        <v>497</v>
      </c>
      <c r="D220" s="47" t="s">
        <v>44</v>
      </c>
      <c r="E220" s="8" t="s">
        <v>475</v>
      </c>
    </row>
    <row r="221" spans="1:5" x14ac:dyDescent="0.25">
      <c r="A221" s="14" t="b">
        <v>0</v>
      </c>
      <c r="B221" s="39" t="b">
        <v>0</v>
      </c>
      <c r="C221" s="15" t="s">
        <v>497</v>
      </c>
      <c r="D221" s="47" t="s">
        <v>45</v>
      </c>
      <c r="E221" s="8" t="s">
        <v>475</v>
      </c>
    </row>
    <row r="222" spans="1:5" x14ac:dyDescent="0.25">
      <c r="A222" s="14" t="b">
        <v>0</v>
      </c>
      <c r="B222" s="39" t="b">
        <v>0</v>
      </c>
      <c r="C222" s="15" t="s">
        <v>497</v>
      </c>
      <c r="D222" s="47" t="s">
        <v>48</v>
      </c>
      <c r="E222" s="8" t="s">
        <v>475</v>
      </c>
    </row>
    <row r="223" spans="1:5" ht="15.75" thickBot="1" x14ac:dyDescent="0.3">
      <c r="A223" s="16" t="b">
        <v>0</v>
      </c>
      <c r="B223" s="17" t="b">
        <v>0</v>
      </c>
      <c r="C223" s="18" t="s">
        <v>497</v>
      </c>
      <c r="D223" s="48" t="s">
        <v>49</v>
      </c>
      <c r="E223" s="7" t="s">
        <v>475</v>
      </c>
    </row>
    <row r="224" spans="1:5" ht="15.75" thickBot="1" x14ac:dyDescent="0.3">
      <c r="A224" s="40"/>
      <c r="B224" s="40"/>
      <c r="C224" s="40"/>
      <c r="D224" s="45" t="s">
        <v>194</v>
      </c>
    </row>
    <row r="225" spans="1:5" ht="15.75" thickBot="1" x14ac:dyDescent="0.3">
      <c r="A225" s="29" t="b">
        <v>1</v>
      </c>
      <c r="B225" s="30" t="b">
        <v>1</v>
      </c>
      <c r="C225" s="31" t="s">
        <v>488</v>
      </c>
      <c r="D225" s="49" t="s">
        <v>195</v>
      </c>
      <c r="E225" s="32"/>
    </row>
    <row r="226" spans="1:5" ht="15.75" thickBot="1" x14ac:dyDescent="0.3">
      <c r="A226" s="40"/>
      <c r="B226" s="40"/>
      <c r="C226" s="40"/>
      <c r="D226" s="45" t="s">
        <v>196</v>
      </c>
    </row>
    <row r="227" spans="1:5" x14ac:dyDescent="0.25">
      <c r="A227" s="11" t="b">
        <v>1</v>
      </c>
      <c r="B227" s="12" t="b">
        <v>1</v>
      </c>
      <c r="C227" s="13" t="s">
        <v>488</v>
      </c>
      <c r="D227" s="42" t="s">
        <v>197</v>
      </c>
      <c r="E227" s="6"/>
    </row>
    <row r="228" spans="1:5" x14ac:dyDescent="0.25">
      <c r="A228" s="14" t="b">
        <v>1</v>
      </c>
      <c r="B228" s="39" t="b">
        <v>1</v>
      </c>
      <c r="C228" s="15" t="s">
        <v>488</v>
      </c>
      <c r="D228" s="43" t="s">
        <v>198</v>
      </c>
      <c r="E228" s="8"/>
    </row>
    <row r="229" spans="1:5" x14ac:dyDescent="0.25">
      <c r="A229" s="14" t="b">
        <v>0</v>
      </c>
      <c r="B229" s="39" t="b">
        <v>0</v>
      </c>
      <c r="C229" s="15" t="s">
        <v>497</v>
      </c>
      <c r="D229" s="43" t="s">
        <v>199</v>
      </c>
      <c r="E229" s="8" t="s">
        <v>507</v>
      </c>
    </row>
    <row r="230" spans="1:5" x14ac:dyDescent="0.25">
      <c r="A230" s="14" t="b">
        <v>0</v>
      </c>
      <c r="B230" s="39" t="b">
        <v>0</v>
      </c>
      <c r="C230" s="15" t="s">
        <v>497</v>
      </c>
      <c r="D230" s="43" t="s">
        <v>200</v>
      </c>
      <c r="E230" s="8" t="s">
        <v>507</v>
      </c>
    </row>
    <row r="231" spans="1:5" x14ac:dyDescent="0.25">
      <c r="A231" s="14" t="b">
        <v>0</v>
      </c>
      <c r="B231" s="39" t="b">
        <v>0</v>
      </c>
      <c r="C231" s="15" t="s">
        <v>497</v>
      </c>
      <c r="D231" s="43" t="s">
        <v>201</v>
      </c>
      <c r="E231" s="8" t="s">
        <v>507</v>
      </c>
    </row>
    <row r="232" spans="1:5" x14ac:dyDescent="0.25">
      <c r="A232" s="14" t="b">
        <v>0</v>
      </c>
      <c r="B232" s="39" t="b">
        <v>0</v>
      </c>
      <c r="C232" s="15" t="s">
        <v>497</v>
      </c>
      <c r="D232" s="43" t="s">
        <v>202</v>
      </c>
      <c r="E232" s="8" t="s">
        <v>507</v>
      </c>
    </row>
    <row r="233" spans="1:5" x14ac:dyDescent="0.25">
      <c r="A233" s="14" t="b">
        <v>0</v>
      </c>
      <c r="B233" s="39" t="b">
        <v>0</v>
      </c>
      <c r="C233" s="15" t="s">
        <v>497</v>
      </c>
      <c r="D233" s="43" t="s">
        <v>203</v>
      </c>
      <c r="E233" s="8" t="s">
        <v>507</v>
      </c>
    </row>
    <row r="234" spans="1:5" ht="15.75" thickBot="1" x14ac:dyDescent="0.3">
      <c r="A234" s="16" t="b">
        <v>0</v>
      </c>
      <c r="B234" s="17" t="b">
        <v>0</v>
      </c>
      <c r="C234" s="18" t="s">
        <v>497</v>
      </c>
      <c r="D234" s="44" t="s">
        <v>204</v>
      </c>
      <c r="E234" s="7" t="s">
        <v>507</v>
      </c>
    </row>
    <row r="235" spans="1:5" ht="15.75" thickBot="1" x14ac:dyDescent="0.3">
      <c r="A235" s="40"/>
      <c r="B235" s="40"/>
      <c r="C235" s="40"/>
      <c r="D235" s="45" t="s">
        <v>205</v>
      </c>
    </row>
    <row r="236" spans="1:5" x14ac:dyDescent="0.25">
      <c r="A236" s="11" t="b">
        <v>1</v>
      </c>
      <c r="B236" s="12" t="b">
        <v>1</v>
      </c>
      <c r="C236" s="13" t="s">
        <v>498</v>
      </c>
      <c r="D236" s="46" t="s">
        <v>206</v>
      </c>
      <c r="E236" s="26" t="s">
        <v>503</v>
      </c>
    </row>
    <row r="237" spans="1:5" x14ac:dyDescent="0.25">
      <c r="A237" s="14" t="b">
        <v>1</v>
      </c>
      <c r="B237" s="39" t="b">
        <v>1</v>
      </c>
      <c r="C237" s="15" t="s">
        <v>488</v>
      </c>
      <c r="D237" s="47" t="s">
        <v>207</v>
      </c>
      <c r="E237" s="27"/>
    </row>
    <row r="238" spans="1:5" x14ac:dyDescent="0.25">
      <c r="A238" s="14" t="b">
        <v>0</v>
      </c>
      <c r="B238" s="39" t="b">
        <v>0</v>
      </c>
      <c r="C238" s="15" t="s">
        <v>497</v>
      </c>
      <c r="D238" s="47" t="s">
        <v>208</v>
      </c>
      <c r="E238" s="27" t="s">
        <v>569</v>
      </c>
    </row>
    <row r="239" spans="1:5" x14ac:dyDescent="0.25">
      <c r="A239" s="14" t="b">
        <v>0</v>
      </c>
      <c r="B239" s="39" t="b">
        <v>0</v>
      </c>
      <c r="C239" s="15" t="s">
        <v>497</v>
      </c>
      <c r="D239" s="47" t="s">
        <v>209</v>
      </c>
      <c r="E239" s="27" t="s">
        <v>569</v>
      </c>
    </row>
    <row r="240" spans="1:5" x14ac:dyDescent="0.25">
      <c r="A240" s="14" t="b">
        <v>1</v>
      </c>
      <c r="B240" s="39" t="b">
        <v>1</v>
      </c>
      <c r="C240" s="15" t="s">
        <v>488</v>
      </c>
      <c r="D240" s="50" t="s">
        <v>210</v>
      </c>
      <c r="E240" s="36"/>
    </row>
    <row r="241" spans="1:5" x14ac:dyDescent="0.25">
      <c r="A241" s="14" t="b">
        <v>1</v>
      </c>
      <c r="B241" s="39" t="b">
        <v>1</v>
      </c>
      <c r="C241" s="15" t="s">
        <v>488</v>
      </c>
      <c r="D241" s="47" t="s">
        <v>197</v>
      </c>
      <c r="E241" s="27"/>
    </row>
    <row r="242" spans="1:5" x14ac:dyDescent="0.25">
      <c r="A242" s="14" t="b">
        <v>1</v>
      </c>
      <c r="B242" s="39" t="b">
        <v>1</v>
      </c>
      <c r="C242" s="15" t="s">
        <v>488</v>
      </c>
      <c r="D242" s="47" t="s">
        <v>198</v>
      </c>
      <c r="E242" s="27"/>
    </row>
    <row r="243" spans="1:5" x14ac:dyDescent="0.25">
      <c r="A243" s="14" t="b">
        <v>0</v>
      </c>
      <c r="B243" s="39" t="b">
        <v>0</v>
      </c>
      <c r="C243" s="15" t="s">
        <v>497</v>
      </c>
      <c r="D243" s="47" t="s">
        <v>199</v>
      </c>
      <c r="E243" s="27" t="s">
        <v>507</v>
      </c>
    </row>
    <row r="244" spans="1:5" x14ac:dyDescent="0.25">
      <c r="A244" s="14" t="b">
        <v>0</v>
      </c>
      <c r="B244" s="39" t="b">
        <v>0</v>
      </c>
      <c r="C244" s="15" t="s">
        <v>497</v>
      </c>
      <c r="D244" s="47" t="s">
        <v>200</v>
      </c>
      <c r="E244" s="27" t="s">
        <v>507</v>
      </c>
    </row>
    <row r="245" spans="1:5" x14ac:dyDescent="0.25">
      <c r="A245" s="14" t="b">
        <v>0</v>
      </c>
      <c r="B245" s="39" t="b">
        <v>0</v>
      </c>
      <c r="C245" s="15" t="s">
        <v>497</v>
      </c>
      <c r="D245" s="47" t="s">
        <v>211</v>
      </c>
      <c r="E245" s="27" t="s">
        <v>510</v>
      </c>
    </row>
    <row r="246" spans="1:5" x14ac:dyDescent="0.25">
      <c r="A246" s="14" t="b">
        <v>1</v>
      </c>
      <c r="B246" s="39" t="b">
        <v>1</v>
      </c>
      <c r="C246" s="15" t="s">
        <v>488</v>
      </c>
      <c r="D246" s="47" t="s">
        <v>212</v>
      </c>
      <c r="E246" s="27"/>
    </row>
    <row r="247" spans="1:5" x14ac:dyDescent="0.25">
      <c r="A247" s="14" t="b">
        <v>1</v>
      </c>
      <c r="B247" s="39" t="b">
        <v>1</v>
      </c>
      <c r="C247" s="15" t="s">
        <v>488</v>
      </c>
      <c r="D247" s="47" t="s">
        <v>213</v>
      </c>
      <c r="E247" s="27"/>
    </row>
    <row r="248" spans="1:5" x14ac:dyDescent="0.25">
      <c r="A248" s="14" t="b">
        <v>1</v>
      </c>
      <c r="B248" s="39" t="b">
        <v>1</v>
      </c>
      <c r="C248" s="15" t="s">
        <v>488</v>
      </c>
      <c r="D248" s="47" t="s">
        <v>214</v>
      </c>
      <c r="E248" s="27"/>
    </row>
    <row r="249" spans="1:5" x14ac:dyDescent="0.25">
      <c r="A249" s="14" t="b">
        <v>1</v>
      </c>
      <c r="B249" s="39" t="b">
        <v>1</v>
      </c>
      <c r="C249" s="15" t="s">
        <v>488</v>
      </c>
      <c r="D249" s="47" t="s">
        <v>215</v>
      </c>
      <c r="E249" s="27"/>
    </row>
    <row r="250" spans="1:5" x14ac:dyDescent="0.25">
      <c r="A250" s="14" t="b">
        <v>1</v>
      </c>
      <c r="B250" s="39" t="b">
        <v>1</v>
      </c>
      <c r="C250" s="15" t="s">
        <v>488</v>
      </c>
      <c r="D250" s="47" t="s">
        <v>216</v>
      </c>
      <c r="E250" s="27"/>
    </row>
    <row r="251" spans="1:5" x14ac:dyDescent="0.25">
      <c r="A251" s="14" t="b">
        <v>1</v>
      </c>
      <c r="B251" s="39" t="b">
        <v>1</v>
      </c>
      <c r="C251" s="15" t="s">
        <v>488</v>
      </c>
      <c r="D251" s="47" t="s">
        <v>217</v>
      </c>
      <c r="E251" s="27"/>
    </row>
    <row r="252" spans="1:5" x14ac:dyDescent="0.25">
      <c r="A252" s="14" t="b">
        <v>0</v>
      </c>
      <c r="B252" s="39" t="b">
        <v>0</v>
      </c>
      <c r="C252" s="15" t="s">
        <v>497</v>
      </c>
      <c r="D252" s="47" t="s">
        <v>218</v>
      </c>
      <c r="E252" s="27" t="s">
        <v>507</v>
      </c>
    </row>
    <row r="253" spans="1:5" x14ac:dyDescent="0.25">
      <c r="A253" s="14" t="b">
        <v>0</v>
      </c>
      <c r="B253" s="39" t="b">
        <v>0</v>
      </c>
      <c r="C253" s="15" t="s">
        <v>497</v>
      </c>
      <c r="D253" s="47" t="s">
        <v>219</v>
      </c>
      <c r="E253" s="27" t="s">
        <v>507</v>
      </c>
    </row>
    <row r="254" spans="1:5" x14ac:dyDescent="0.25">
      <c r="A254" s="14" t="b">
        <v>1</v>
      </c>
      <c r="B254" s="39" t="b">
        <v>1</v>
      </c>
      <c r="C254" s="15" t="s">
        <v>488</v>
      </c>
      <c r="D254" s="47" t="s">
        <v>220</v>
      </c>
      <c r="E254" s="27"/>
    </row>
    <row r="255" spans="1:5" x14ac:dyDescent="0.25">
      <c r="A255" s="14" t="b">
        <v>1</v>
      </c>
      <c r="B255" s="39" t="b">
        <v>1</v>
      </c>
      <c r="C255" s="15" t="s">
        <v>488</v>
      </c>
      <c r="D255" s="47" t="s">
        <v>221</v>
      </c>
      <c r="E255" s="27"/>
    </row>
    <row r="256" spans="1:5" x14ac:dyDescent="0.25">
      <c r="A256" s="14" t="b">
        <v>1</v>
      </c>
      <c r="B256" s="39" t="b">
        <v>1</v>
      </c>
      <c r="C256" s="15" t="s">
        <v>498</v>
      </c>
      <c r="D256" s="47" t="s">
        <v>222</v>
      </c>
      <c r="E256" s="27" t="s">
        <v>502</v>
      </c>
    </row>
    <row r="257" spans="1:5" ht="15.75" thickBot="1" x14ac:dyDescent="0.3">
      <c r="A257" s="16" t="b">
        <v>1</v>
      </c>
      <c r="B257" s="17" t="b">
        <v>1</v>
      </c>
      <c r="C257" s="18" t="s">
        <v>488</v>
      </c>
      <c r="D257" s="48" t="s">
        <v>223</v>
      </c>
      <c r="E257" s="28"/>
    </row>
    <row r="258" spans="1:5" ht="15.75" thickBot="1" x14ac:dyDescent="0.3">
      <c r="A258" s="40"/>
      <c r="B258" s="40"/>
      <c r="C258" s="40"/>
      <c r="D258" s="45" t="s">
        <v>224</v>
      </c>
    </row>
    <row r="259" spans="1:5" ht="15.75" thickBot="1" x14ac:dyDescent="0.3">
      <c r="A259" s="29" t="b">
        <v>1</v>
      </c>
      <c r="B259" s="30" t="b">
        <v>1</v>
      </c>
      <c r="C259" s="31" t="s">
        <v>488</v>
      </c>
      <c r="D259" s="49" t="s">
        <v>225</v>
      </c>
      <c r="E259" s="10"/>
    </row>
    <row r="260" spans="1:5" ht="15.75" thickBot="1" x14ac:dyDescent="0.3">
      <c r="A260" s="40"/>
      <c r="B260" s="40"/>
      <c r="C260" s="40"/>
      <c r="D260" s="45" t="s">
        <v>226</v>
      </c>
    </row>
    <row r="261" spans="1:5" x14ac:dyDescent="0.25">
      <c r="A261" s="11" t="b">
        <v>0</v>
      </c>
      <c r="B261" s="12" t="b">
        <v>0</v>
      </c>
      <c r="C261" s="13" t="s">
        <v>497</v>
      </c>
      <c r="D261" s="46" t="s">
        <v>227</v>
      </c>
      <c r="E261" s="26" t="s">
        <v>517</v>
      </c>
    </row>
    <row r="262" spans="1:5" x14ac:dyDescent="0.25">
      <c r="A262" s="14" t="b">
        <v>0</v>
      </c>
      <c r="B262" s="39" t="b">
        <v>0</v>
      </c>
      <c r="C262" s="15" t="s">
        <v>497</v>
      </c>
      <c r="D262" s="47" t="s">
        <v>228</v>
      </c>
      <c r="E262" s="27" t="s">
        <v>517</v>
      </c>
    </row>
    <row r="263" spans="1:5" x14ac:dyDescent="0.25">
      <c r="A263" s="14" t="b">
        <v>0</v>
      </c>
      <c r="B263" s="39" t="b">
        <v>0</v>
      </c>
      <c r="C263" s="15" t="s">
        <v>497</v>
      </c>
      <c r="D263" s="47" t="s">
        <v>229</v>
      </c>
      <c r="E263" s="27" t="s">
        <v>517</v>
      </c>
    </row>
    <row r="264" spans="1:5" x14ac:dyDescent="0.25">
      <c r="A264" s="14" t="b">
        <v>0</v>
      </c>
      <c r="B264" s="39" t="b">
        <v>0</v>
      </c>
      <c r="C264" s="15" t="s">
        <v>497</v>
      </c>
      <c r="D264" s="47" t="s">
        <v>230</v>
      </c>
      <c r="E264" s="27" t="s">
        <v>517</v>
      </c>
    </row>
    <row r="265" spans="1:5" x14ac:dyDescent="0.25">
      <c r="A265" s="14" t="b">
        <v>0</v>
      </c>
      <c r="B265" s="39" t="b">
        <v>0</v>
      </c>
      <c r="C265" s="15" t="s">
        <v>497</v>
      </c>
      <c r="D265" s="47" t="s">
        <v>231</v>
      </c>
      <c r="E265" s="27" t="s">
        <v>517</v>
      </c>
    </row>
    <row r="266" spans="1:5" x14ac:dyDescent="0.25">
      <c r="A266" s="14" t="b">
        <v>0</v>
      </c>
      <c r="B266" s="39" t="b">
        <v>0</v>
      </c>
      <c r="C266" s="15" t="s">
        <v>497</v>
      </c>
      <c r="D266" s="47" t="s">
        <v>232</v>
      </c>
      <c r="E266" s="27" t="s">
        <v>517</v>
      </c>
    </row>
    <row r="267" spans="1:5" x14ac:dyDescent="0.25">
      <c r="A267" s="14" t="b">
        <v>0</v>
      </c>
      <c r="B267" s="39" t="b">
        <v>0</v>
      </c>
      <c r="C267" s="15" t="s">
        <v>497</v>
      </c>
      <c r="D267" s="47" t="s">
        <v>233</v>
      </c>
      <c r="E267" s="27" t="s">
        <v>517</v>
      </c>
    </row>
    <row r="268" spans="1:5" x14ac:dyDescent="0.25">
      <c r="A268" s="14" t="b">
        <v>0</v>
      </c>
      <c r="B268" s="39" t="b">
        <v>0</v>
      </c>
      <c r="C268" s="15" t="s">
        <v>497</v>
      </c>
      <c r="D268" s="47" t="s">
        <v>234</v>
      </c>
      <c r="E268" s="27" t="s">
        <v>517</v>
      </c>
    </row>
    <row r="269" spans="1:5" x14ac:dyDescent="0.25">
      <c r="A269" s="14" t="b">
        <v>0</v>
      </c>
      <c r="B269" s="39" t="b">
        <v>0</v>
      </c>
      <c r="C269" s="15" t="s">
        <v>497</v>
      </c>
      <c r="D269" s="47" t="s">
        <v>235</v>
      </c>
      <c r="E269" s="27" t="s">
        <v>517</v>
      </c>
    </row>
    <row r="270" spans="1:5" x14ac:dyDescent="0.25">
      <c r="A270" s="14" t="b">
        <v>0</v>
      </c>
      <c r="B270" s="39" t="b">
        <v>0</v>
      </c>
      <c r="C270" s="15" t="s">
        <v>497</v>
      </c>
      <c r="D270" s="47" t="s">
        <v>236</v>
      </c>
      <c r="E270" s="27" t="s">
        <v>517</v>
      </c>
    </row>
    <row r="271" spans="1:5" x14ac:dyDescent="0.25">
      <c r="A271" s="14" t="b">
        <v>0</v>
      </c>
      <c r="B271" s="39" t="b">
        <v>0</v>
      </c>
      <c r="C271" s="15" t="s">
        <v>497</v>
      </c>
      <c r="D271" s="47" t="s">
        <v>237</v>
      </c>
      <c r="E271" s="27" t="s">
        <v>517</v>
      </c>
    </row>
    <row r="272" spans="1:5" ht="15.75" thickBot="1" x14ac:dyDescent="0.3">
      <c r="A272" s="16" t="b">
        <v>0</v>
      </c>
      <c r="B272" s="17" t="b">
        <v>0</v>
      </c>
      <c r="C272" s="18" t="s">
        <v>497</v>
      </c>
      <c r="D272" s="48" t="s">
        <v>238</v>
      </c>
      <c r="E272" s="28" t="s">
        <v>517</v>
      </c>
    </row>
    <row r="273" spans="1:5" ht="15.75" thickBot="1" x14ac:dyDescent="0.3">
      <c r="A273" s="40"/>
      <c r="B273" s="40"/>
      <c r="C273" s="40"/>
      <c r="D273" s="45" t="s">
        <v>239</v>
      </c>
    </row>
    <row r="274" spans="1:5" x14ac:dyDescent="0.25">
      <c r="A274" s="11" t="b">
        <v>1</v>
      </c>
      <c r="B274" s="12" t="b">
        <v>1</v>
      </c>
      <c r="C274" s="13" t="s">
        <v>488</v>
      </c>
      <c r="D274" s="46" t="s">
        <v>240</v>
      </c>
      <c r="E274" s="26"/>
    </row>
    <row r="275" spans="1:5" x14ac:dyDescent="0.25">
      <c r="A275" s="14" t="b">
        <v>1</v>
      </c>
      <c r="B275" s="39" t="b">
        <v>1</v>
      </c>
      <c r="C275" s="15" t="s">
        <v>498</v>
      </c>
      <c r="D275" s="47" t="s">
        <v>241</v>
      </c>
      <c r="E275" s="27" t="s">
        <v>571</v>
      </c>
    </row>
    <row r="276" spans="1:5" x14ac:dyDescent="0.25">
      <c r="A276" s="14" t="b">
        <v>1</v>
      </c>
      <c r="B276" s="39" t="b">
        <v>1</v>
      </c>
      <c r="C276" s="15" t="s">
        <v>498</v>
      </c>
      <c r="D276" s="47" t="s">
        <v>242</v>
      </c>
      <c r="E276" s="27" t="s">
        <v>571</v>
      </c>
    </row>
    <row r="277" spans="1:5" x14ac:dyDescent="0.25">
      <c r="A277" s="14" t="b">
        <v>1</v>
      </c>
      <c r="B277" s="39" t="b">
        <v>1</v>
      </c>
      <c r="C277" s="15" t="s">
        <v>488</v>
      </c>
      <c r="D277" s="47" t="s">
        <v>243</v>
      </c>
      <c r="E277" s="27"/>
    </row>
    <row r="278" spans="1:5" ht="15.75" thickBot="1" x14ac:dyDescent="0.3">
      <c r="A278" s="16" t="b">
        <v>1</v>
      </c>
      <c r="B278" s="17" t="b">
        <v>1</v>
      </c>
      <c r="C278" s="18" t="s">
        <v>488</v>
      </c>
      <c r="D278" s="48" t="s">
        <v>244</v>
      </c>
      <c r="E278" s="28"/>
    </row>
    <row r="279" spans="1:5" ht="15.75" thickBot="1" x14ac:dyDescent="0.3">
      <c r="A279" s="40"/>
      <c r="B279" s="40"/>
      <c r="C279" s="40"/>
      <c r="D279" s="45" t="s">
        <v>245</v>
      </c>
    </row>
    <row r="280" spans="1:5" x14ac:dyDescent="0.25">
      <c r="A280" s="11" t="b">
        <v>1</v>
      </c>
      <c r="B280" s="12" t="b">
        <v>1</v>
      </c>
      <c r="C280" s="13" t="s">
        <v>488</v>
      </c>
      <c r="D280" s="46" t="s">
        <v>246</v>
      </c>
      <c r="E280" s="26"/>
    </row>
    <row r="281" spans="1:5" x14ac:dyDescent="0.25">
      <c r="A281" s="14" t="b">
        <v>1</v>
      </c>
      <c r="B281" s="39" t="b">
        <v>1</v>
      </c>
      <c r="C281" s="15" t="s">
        <v>488</v>
      </c>
      <c r="D281" s="47" t="s">
        <v>247</v>
      </c>
      <c r="E281" s="27"/>
    </row>
    <row r="282" spans="1:5" x14ac:dyDescent="0.25">
      <c r="A282" s="14" t="b">
        <v>1</v>
      </c>
      <c r="B282" s="39" t="b">
        <v>1</v>
      </c>
      <c r="C282" s="15" t="s">
        <v>488</v>
      </c>
      <c r="D282" s="47" t="s">
        <v>248</v>
      </c>
      <c r="E282" s="27"/>
    </row>
    <row r="283" spans="1:5" x14ac:dyDescent="0.25">
      <c r="A283" s="14" t="b">
        <v>1</v>
      </c>
      <c r="B283" s="39" t="b">
        <v>1</v>
      </c>
      <c r="C283" s="15" t="s">
        <v>488</v>
      </c>
      <c r="D283" s="47" t="s">
        <v>249</v>
      </c>
      <c r="E283" s="27"/>
    </row>
    <row r="284" spans="1:5" x14ac:dyDescent="0.25">
      <c r="A284" s="14" t="b">
        <v>1</v>
      </c>
      <c r="B284" s="39" t="b">
        <v>1</v>
      </c>
      <c r="C284" s="15" t="s">
        <v>488</v>
      </c>
      <c r="D284" s="47" t="s">
        <v>250</v>
      </c>
      <c r="E284" s="27" t="s">
        <v>573</v>
      </c>
    </row>
    <row r="285" spans="1:5" x14ac:dyDescent="0.25">
      <c r="A285" s="14" t="b">
        <v>1</v>
      </c>
      <c r="B285" s="39" t="b">
        <v>1</v>
      </c>
      <c r="C285" s="15" t="s">
        <v>488</v>
      </c>
      <c r="D285" s="47" t="s">
        <v>251</v>
      </c>
      <c r="E285" s="27"/>
    </row>
    <row r="286" spans="1:5" x14ac:dyDescent="0.25">
      <c r="A286" s="14" t="b">
        <v>0</v>
      </c>
      <c r="B286" s="39" t="b">
        <v>0</v>
      </c>
      <c r="C286" s="15" t="s">
        <v>497</v>
      </c>
      <c r="D286" s="47" t="s">
        <v>252</v>
      </c>
      <c r="E286" s="8" t="s">
        <v>577</v>
      </c>
    </row>
    <row r="287" spans="1:5" x14ac:dyDescent="0.25">
      <c r="A287" s="14" t="b">
        <v>0</v>
      </c>
      <c r="B287" s="39" t="b">
        <v>0</v>
      </c>
      <c r="C287" s="15" t="s">
        <v>497</v>
      </c>
      <c r="D287" s="47" t="s">
        <v>253</v>
      </c>
      <c r="E287" s="8" t="s">
        <v>577</v>
      </c>
    </row>
    <row r="288" spans="1:5" x14ac:dyDescent="0.25">
      <c r="A288" s="14" t="b">
        <v>0</v>
      </c>
      <c r="B288" s="39" t="b">
        <v>0</v>
      </c>
      <c r="C288" s="15" t="s">
        <v>497</v>
      </c>
      <c r="D288" s="47" t="s">
        <v>254</v>
      </c>
      <c r="E288" s="8" t="s">
        <v>577</v>
      </c>
    </row>
    <row r="289" spans="1:5" x14ac:dyDescent="0.25">
      <c r="A289" s="14" t="b">
        <v>0</v>
      </c>
      <c r="B289" s="39" t="b">
        <v>0</v>
      </c>
      <c r="C289" s="15" t="s">
        <v>497</v>
      </c>
      <c r="D289" s="47" t="s">
        <v>255</v>
      </c>
      <c r="E289" s="8" t="s">
        <v>577</v>
      </c>
    </row>
    <row r="290" spans="1:5" x14ac:dyDescent="0.25">
      <c r="A290" s="14" t="b">
        <v>0</v>
      </c>
      <c r="B290" s="39" t="b">
        <v>0</v>
      </c>
      <c r="C290" s="15" t="s">
        <v>497</v>
      </c>
      <c r="D290" s="47" t="s">
        <v>256</v>
      </c>
      <c r="E290" s="27" t="s">
        <v>574</v>
      </c>
    </row>
    <row r="291" spans="1:5" x14ac:dyDescent="0.25">
      <c r="A291" s="14" t="b">
        <v>0</v>
      </c>
      <c r="B291" s="39" t="b">
        <v>0</v>
      </c>
      <c r="C291" s="15" t="s">
        <v>497</v>
      </c>
      <c r="D291" s="47" t="s">
        <v>257</v>
      </c>
      <c r="E291" s="27" t="s">
        <v>574</v>
      </c>
    </row>
    <row r="292" spans="1:5" x14ac:dyDescent="0.25">
      <c r="A292" s="14" t="b">
        <v>0</v>
      </c>
      <c r="B292" s="39" t="b">
        <v>0</v>
      </c>
      <c r="C292" s="15" t="s">
        <v>497</v>
      </c>
      <c r="D292" s="47" t="s">
        <v>258</v>
      </c>
      <c r="E292" s="8" t="s">
        <v>577</v>
      </c>
    </row>
    <row r="293" spans="1:5" x14ac:dyDescent="0.25">
      <c r="A293" s="14" t="b">
        <v>0</v>
      </c>
      <c r="B293" s="39" t="b">
        <v>0</v>
      </c>
      <c r="C293" s="15" t="s">
        <v>497</v>
      </c>
      <c r="D293" s="47" t="s">
        <v>259</v>
      </c>
      <c r="E293" s="8" t="s">
        <v>577</v>
      </c>
    </row>
    <row r="294" spans="1:5" x14ac:dyDescent="0.25">
      <c r="A294" s="14" t="b">
        <v>1</v>
      </c>
      <c r="B294" s="39" t="b">
        <v>1</v>
      </c>
      <c r="C294" s="15" t="s">
        <v>488</v>
      </c>
      <c r="D294" s="47" t="s">
        <v>260</v>
      </c>
      <c r="E294" s="27"/>
    </row>
    <row r="295" spans="1:5" x14ac:dyDescent="0.25">
      <c r="A295" s="14" t="b">
        <v>1</v>
      </c>
      <c r="B295" s="39" t="b">
        <v>1</v>
      </c>
      <c r="C295" s="15" t="s">
        <v>488</v>
      </c>
      <c r="D295" s="47" t="s">
        <v>261</v>
      </c>
      <c r="E295" s="27"/>
    </row>
    <row r="296" spans="1:5" x14ac:dyDescent="0.25">
      <c r="A296" s="14" t="b">
        <v>0</v>
      </c>
      <c r="B296" s="39" t="b">
        <v>0</v>
      </c>
      <c r="C296" s="15" t="s">
        <v>497</v>
      </c>
      <c r="D296" s="47" t="s">
        <v>262</v>
      </c>
      <c r="E296" s="8" t="s">
        <v>577</v>
      </c>
    </row>
    <row r="297" spans="1:5" x14ac:dyDescent="0.25">
      <c r="A297" s="14" t="b">
        <v>0</v>
      </c>
      <c r="B297" s="39" t="b">
        <v>0</v>
      </c>
      <c r="C297" s="15" t="s">
        <v>497</v>
      </c>
      <c r="D297" s="47" t="s">
        <v>263</v>
      </c>
      <c r="E297" s="8" t="s">
        <v>577</v>
      </c>
    </row>
    <row r="298" spans="1:5" x14ac:dyDescent="0.25">
      <c r="A298" s="14" t="b">
        <v>0</v>
      </c>
      <c r="B298" s="39" t="b">
        <v>0</v>
      </c>
      <c r="C298" s="15" t="s">
        <v>497</v>
      </c>
      <c r="D298" s="47" t="s">
        <v>264</v>
      </c>
      <c r="E298" s="8" t="s">
        <v>577</v>
      </c>
    </row>
    <row r="299" spans="1:5" ht="15.75" thickBot="1" x14ac:dyDescent="0.3">
      <c r="A299" s="16" t="b">
        <v>0</v>
      </c>
      <c r="B299" s="17" t="b">
        <v>0</v>
      </c>
      <c r="C299" s="18" t="s">
        <v>497</v>
      </c>
      <c r="D299" s="48" t="s">
        <v>265</v>
      </c>
      <c r="E299" s="8" t="s">
        <v>577</v>
      </c>
    </row>
    <row r="300" spans="1:5" ht="15.75" thickBot="1" x14ac:dyDescent="0.3">
      <c r="A300" s="40"/>
      <c r="B300" s="40"/>
      <c r="C300" s="40"/>
      <c r="D300" s="45" t="s">
        <v>266</v>
      </c>
    </row>
    <row r="301" spans="1:5" x14ac:dyDescent="0.25">
      <c r="A301" s="11" t="b">
        <v>1</v>
      </c>
      <c r="B301" s="12" t="b">
        <v>1</v>
      </c>
      <c r="C301" s="13" t="s">
        <v>488</v>
      </c>
      <c r="D301" s="46" t="s">
        <v>267</v>
      </c>
      <c r="E301" s="26"/>
    </row>
    <row r="302" spans="1:5" x14ac:dyDescent="0.25">
      <c r="A302" s="14" t="b">
        <v>1</v>
      </c>
      <c r="B302" s="39" t="b">
        <v>1</v>
      </c>
      <c r="C302" s="15" t="s">
        <v>488</v>
      </c>
      <c r="D302" s="47" t="s">
        <v>268</v>
      </c>
      <c r="E302" s="27"/>
    </row>
    <row r="303" spans="1:5" x14ac:dyDescent="0.25">
      <c r="A303" s="14" t="b">
        <v>1</v>
      </c>
      <c r="B303" s="39" t="b">
        <v>1</v>
      </c>
      <c r="C303" s="15" t="s">
        <v>488</v>
      </c>
      <c r="D303" s="47" t="s">
        <v>269</v>
      </c>
      <c r="E303" s="27"/>
    </row>
    <row r="304" spans="1:5" x14ac:dyDescent="0.25">
      <c r="A304" s="14" t="b">
        <v>1</v>
      </c>
      <c r="B304" s="39" t="b">
        <v>1</v>
      </c>
      <c r="C304" s="15" t="s">
        <v>488</v>
      </c>
      <c r="D304" s="47" t="s">
        <v>270</v>
      </c>
      <c r="E304" s="27"/>
    </row>
    <row r="305" spans="1:5" x14ac:dyDescent="0.25">
      <c r="A305" s="14" t="b">
        <v>1</v>
      </c>
      <c r="B305" s="39" t="b">
        <v>1</v>
      </c>
      <c r="C305" s="15" t="s">
        <v>488</v>
      </c>
      <c r="D305" s="47" t="s">
        <v>271</v>
      </c>
      <c r="E305" s="27"/>
    </row>
    <row r="306" spans="1:5" x14ac:dyDescent="0.25">
      <c r="A306" s="14" t="b">
        <v>1</v>
      </c>
      <c r="B306" s="39" t="b">
        <v>1</v>
      </c>
      <c r="C306" s="15" t="s">
        <v>488</v>
      </c>
      <c r="D306" s="47" t="s">
        <v>272</v>
      </c>
      <c r="E306" s="27"/>
    </row>
    <row r="307" spans="1:5" x14ac:dyDescent="0.25">
      <c r="A307" s="14" t="b">
        <v>1</v>
      </c>
      <c r="B307" s="39" t="b">
        <v>1</v>
      </c>
      <c r="C307" s="15" t="s">
        <v>488</v>
      </c>
      <c r="D307" s="47" t="s">
        <v>273</v>
      </c>
      <c r="E307" s="27"/>
    </row>
    <row r="308" spans="1:5" x14ac:dyDescent="0.25">
      <c r="A308" s="14" t="b">
        <v>1</v>
      </c>
      <c r="B308" s="39" t="b">
        <v>1</v>
      </c>
      <c r="C308" s="15" t="s">
        <v>488</v>
      </c>
      <c r="D308" s="47" t="s">
        <v>274</v>
      </c>
      <c r="E308" s="27"/>
    </row>
    <row r="309" spans="1:5" x14ac:dyDescent="0.25">
      <c r="A309" s="14" t="b">
        <v>1</v>
      </c>
      <c r="B309" s="39" t="b">
        <v>1</v>
      </c>
      <c r="C309" s="15" t="s">
        <v>488</v>
      </c>
      <c r="D309" s="47" t="s">
        <v>275</v>
      </c>
      <c r="E309" s="27"/>
    </row>
    <row r="310" spans="1:5" ht="15.75" thickBot="1" x14ac:dyDescent="0.3">
      <c r="A310" s="16" t="b">
        <v>1</v>
      </c>
      <c r="B310" s="17" t="b">
        <v>1</v>
      </c>
      <c r="C310" s="18" t="s">
        <v>488</v>
      </c>
      <c r="D310" s="48" t="s">
        <v>276</v>
      </c>
      <c r="E310" s="28"/>
    </row>
    <row r="311" spans="1:5" ht="15.75" thickBot="1" x14ac:dyDescent="0.3">
      <c r="A311" s="40"/>
      <c r="B311" s="40"/>
      <c r="C311" s="40"/>
      <c r="D311" s="45" t="s">
        <v>277</v>
      </c>
    </row>
    <row r="312" spans="1:5" x14ac:dyDescent="0.25">
      <c r="A312" s="11" t="b">
        <v>0</v>
      </c>
      <c r="B312" s="12" t="b">
        <v>0</v>
      </c>
      <c r="C312" s="13" t="s">
        <v>497</v>
      </c>
      <c r="D312" s="46" t="s">
        <v>278</v>
      </c>
      <c r="E312" s="6" t="s">
        <v>577</v>
      </c>
    </row>
    <row r="313" spans="1:5" x14ac:dyDescent="0.25">
      <c r="A313" s="14" t="b">
        <v>0</v>
      </c>
      <c r="B313" s="39" t="b">
        <v>0</v>
      </c>
      <c r="C313" s="15" t="s">
        <v>497</v>
      </c>
      <c r="D313" s="47" t="s">
        <v>279</v>
      </c>
      <c r="E313" s="8" t="s">
        <v>577</v>
      </c>
    </row>
    <row r="314" spans="1:5" x14ac:dyDescent="0.25">
      <c r="A314" s="14" t="b">
        <v>0</v>
      </c>
      <c r="B314" s="39" t="b">
        <v>0</v>
      </c>
      <c r="C314" s="15" t="s">
        <v>497</v>
      </c>
      <c r="D314" s="47" t="s">
        <v>280</v>
      </c>
      <c r="E314" s="8" t="s">
        <v>577</v>
      </c>
    </row>
    <row r="315" spans="1:5" ht="15.75" thickBot="1" x14ac:dyDescent="0.3">
      <c r="A315" s="16" t="b">
        <v>0</v>
      </c>
      <c r="B315" s="17" t="b">
        <v>0</v>
      </c>
      <c r="C315" s="18" t="s">
        <v>497</v>
      </c>
      <c r="D315" s="48" t="s">
        <v>281</v>
      </c>
      <c r="E315" s="7" t="s">
        <v>577</v>
      </c>
    </row>
    <row r="316" spans="1:5" ht="15.75" thickBot="1" x14ac:dyDescent="0.3">
      <c r="A316" s="40"/>
      <c r="B316" s="40"/>
      <c r="C316" s="40"/>
      <c r="D316" s="45" t="s">
        <v>282</v>
      </c>
    </row>
    <row r="317" spans="1:5" x14ac:dyDescent="0.25">
      <c r="A317" s="11" t="b">
        <v>0</v>
      </c>
      <c r="B317" s="12" t="b">
        <v>0</v>
      </c>
      <c r="C317" s="13" t="s">
        <v>497</v>
      </c>
      <c r="D317" s="46" t="s">
        <v>283</v>
      </c>
      <c r="E317" s="26" t="s">
        <v>601</v>
      </c>
    </row>
    <row r="318" spans="1:5" ht="15.75" thickBot="1" x14ac:dyDescent="0.3">
      <c r="A318" s="16" t="b">
        <v>0</v>
      </c>
      <c r="B318" s="17" t="b">
        <v>0</v>
      </c>
      <c r="C318" s="18" t="s">
        <v>497</v>
      </c>
      <c r="D318" s="48" t="s">
        <v>284</v>
      </c>
      <c r="E318" s="28" t="s">
        <v>601</v>
      </c>
    </row>
    <row r="319" spans="1:5" ht="15.75" thickBot="1" x14ac:dyDescent="0.3">
      <c r="A319" s="40"/>
      <c r="B319" s="40"/>
      <c r="C319" s="40"/>
      <c r="D319" s="45" t="s">
        <v>285</v>
      </c>
    </row>
    <row r="320" spans="1:5" x14ac:dyDescent="0.25">
      <c r="A320" s="11" t="b">
        <v>1</v>
      </c>
      <c r="B320" s="12" t="b">
        <v>1</v>
      </c>
      <c r="C320" s="13" t="s">
        <v>488</v>
      </c>
      <c r="D320" s="46" t="s">
        <v>286</v>
      </c>
      <c r="E320" s="26" t="s">
        <v>500</v>
      </c>
    </row>
    <row r="321" spans="1:5" x14ac:dyDescent="0.25">
      <c r="A321" s="14" t="b">
        <v>1</v>
      </c>
      <c r="B321" s="39" t="b">
        <v>1</v>
      </c>
      <c r="C321" s="15" t="s">
        <v>488</v>
      </c>
      <c r="D321" s="47" t="s">
        <v>287</v>
      </c>
      <c r="E321" s="27"/>
    </row>
    <row r="322" spans="1:5" x14ac:dyDescent="0.25">
      <c r="A322" s="14" t="b">
        <v>1</v>
      </c>
      <c r="B322" s="39" t="b">
        <v>1</v>
      </c>
      <c r="C322" s="15" t="s">
        <v>488</v>
      </c>
      <c r="D322" s="47" t="s">
        <v>288</v>
      </c>
      <c r="E322" s="27"/>
    </row>
    <row r="323" spans="1:5" x14ac:dyDescent="0.25">
      <c r="A323" s="14" t="b">
        <v>1</v>
      </c>
      <c r="B323" s="39" t="b">
        <v>1</v>
      </c>
      <c r="C323" s="15" t="s">
        <v>488</v>
      </c>
      <c r="D323" s="47" t="s">
        <v>289</v>
      </c>
      <c r="E323" s="27"/>
    </row>
    <row r="324" spans="1:5" ht="30" x14ac:dyDescent="0.25">
      <c r="A324" s="14" t="b">
        <v>1</v>
      </c>
      <c r="B324" s="39" t="b">
        <v>1</v>
      </c>
      <c r="C324" s="15" t="s">
        <v>498</v>
      </c>
      <c r="D324" s="47" t="s">
        <v>290</v>
      </c>
      <c r="E324" s="36" t="s">
        <v>570</v>
      </c>
    </row>
    <row r="325" spans="1:5" x14ac:dyDescent="0.25">
      <c r="A325" s="14" t="b">
        <v>1</v>
      </c>
      <c r="B325" s="39" t="b">
        <v>1</v>
      </c>
      <c r="C325" s="15" t="s">
        <v>488</v>
      </c>
      <c r="D325" s="47" t="s">
        <v>291</v>
      </c>
      <c r="E325" s="27"/>
    </row>
    <row r="326" spans="1:5" ht="15.75" thickBot="1" x14ac:dyDescent="0.3">
      <c r="A326" s="16" t="b">
        <v>1</v>
      </c>
      <c r="B326" s="17" t="b">
        <v>1</v>
      </c>
      <c r="C326" s="18" t="s">
        <v>488</v>
      </c>
      <c r="D326" s="48" t="s">
        <v>292</v>
      </c>
      <c r="E326" s="64"/>
    </row>
    <row r="327" spans="1:5" ht="15.75" thickBot="1" x14ac:dyDescent="0.3">
      <c r="A327" s="40"/>
      <c r="B327" s="40"/>
      <c r="C327" s="40"/>
      <c r="D327" s="45" t="s">
        <v>293</v>
      </c>
    </row>
    <row r="328" spans="1:5" x14ac:dyDescent="0.25">
      <c r="A328" s="11" t="b">
        <v>0</v>
      </c>
      <c r="B328" s="12" t="b">
        <v>0</v>
      </c>
      <c r="C328" s="13" t="s">
        <v>497</v>
      </c>
      <c r="D328" s="46" t="s">
        <v>294</v>
      </c>
      <c r="E328" s="26" t="s">
        <v>579</v>
      </c>
    </row>
    <row r="329" spans="1:5" x14ac:dyDescent="0.25">
      <c r="A329" s="14" t="b">
        <v>0</v>
      </c>
      <c r="B329" s="39" t="b">
        <v>0</v>
      </c>
      <c r="C329" s="15" t="s">
        <v>497</v>
      </c>
      <c r="D329" s="47" t="s">
        <v>295</v>
      </c>
      <c r="E329" s="27" t="s">
        <v>579</v>
      </c>
    </row>
    <row r="330" spans="1:5" x14ac:dyDescent="0.25">
      <c r="A330" s="14" t="b">
        <v>0</v>
      </c>
      <c r="B330" s="39" t="b">
        <v>0</v>
      </c>
      <c r="C330" s="15" t="s">
        <v>497</v>
      </c>
      <c r="D330" s="47" t="s">
        <v>296</v>
      </c>
      <c r="E330" s="27" t="s">
        <v>579</v>
      </c>
    </row>
    <row r="331" spans="1:5" x14ac:dyDescent="0.25">
      <c r="A331" s="14" t="b">
        <v>0</v>
      </c>
      <c r="B331" s="39" t="b">
        <v>0</v>
      </c>
      <c r="C331" s="15" t="s">
        <v>497</v>
      </c>
      <c r="D331" s="47" t="s">
        <v>297</v>
      </c>
      <c r="E331" s="27" t="s">
        <v>579</v>
      </c>
    </row>
    <row r="332" spans="1:5" x14ac:dyDescent="0.25">
      <c r="A332" s="14" t="b">
        <v>0</v>
      </c>
      <c r="B332" s="39" t="b">
        <v>0</v>
      </c>
      <c r="C332" s="15" t="s">
        <v>497</v>
      </c>
      <c r="D332" s="47" t="s">
        <v>298</v>
      </c>
      <c r="E332" s="27" t="s">
        <v>579</v>
      </c>
    </row>
    <row r="333" spans="1:5" x14ac:dyDescent="0.25">
      <c r="A333" s="14" t="b">
        <v>0</v>
      </c>
      <c r="B333" s="39" t="b">
        <v>0</v>
      </c>
      <c r="C333" s="15" t="s">
        <v>497</v>
      </c>
      <c r="D333" s="47" t="s">
        <v>299</v>
      </c>
      <c r="E333" s="27" t="s">
        <v>579</v>
      </c>
    </row>
    <row r="334" spans="1:5" x14ac:dyDescent="0.25">
      <c r="A334" s="14" t="b">
        <v>0</v>
      </c>
      <c r="B334" s="39" t="b">
        <v>0</v>
      </c>
      <c r="C334" s="15" t="s">
        <v>497</v>
      </c>
      <c r="D334" s="47" t="s">
        <v>300</v>
      </c>
      <c r="E334" s="27" t="s">
        <v>579</v>
      </c>
    </row>
    <row r="335" spans="1:5" x14ac:dyDescent="0.25">
      <c r="A335" s="14" t="b">
        <v>0</v>
      </c>
      <c r="B335" s="39" t="b">
        <v>0</v>
      </c>
      <c r="C335" s="15" t="s">
        <v>497</v>
      </c>
      <c r="D335" s="47" t="s">
        <v>301</v>
      </c>
      <c r="E335" s="27" t="s">
        <v>579</v>
      </c>
    </row>
    <row r="336" spans="1:5" x14ac:dyDescent="0.25">
      <c r="A336" s="14" t="b">
        <v>0</v>
      </c>
      <c r="B336" s="39" t="b">
        <v>0</v>
      </c>
      <c r="C336" s="15" t="s">
        <v>497</v>
      </c>
      <c r="D336" s="47" t="s">
        <v>302</v>
      </c>
      <c r="E336" s="27" t="s">
        <v>579</v>
      </c>
    </row>
    <row r="337" spans="1:5" x14ac:dyDescent="0.25">
      <c r="A337" s="14" t="b">
        <v>0</v>
      </c>
      <c r="B337" s="39" t="b">
        <v>0</v>
      </c>
      <c r="C337" s="15" t="s">
        <v>497</v>
      </c>
      <c r="D337" s="47" t="s">
        <v>303</v>
      </c>
      <c r="E337" s="27" t="s">
        <v>579</v>
      </c>
    </row>
    <row r="338" spans="1:5" x14ac:dyDescent="0.25">
      <c r="A338" s="14" t="b">
        <v>0</v>
      </c>
      <c r="B338" s="39" t="b">
        <v>0</v>
      </c>
      <c r="C338" s="15" t="s">
        <v>497</v>
      </c>
      <c r="D338" s="47" t="s">
        <v>304</v>
      </c>
      <c r="E338" s="27" t="s">
        <v>579</v>
      </c>
    </row>
    <row r="339" spans="1:5" x14ac:dyDescent="0.25">
      <c r="A339" s="14" t="b">
        <v>0</v>
      </c>
      <c r="B339" s="39" t="b">
        <v>0</v>
      </c>
      <c r="C339" s="15" t="s">
        <v>497</v>
      </c>
      <c r="D339" s="47" t="s">
        <v>305</v>
      </c>
      <c r="E339" s="27" t="s">
        <v>579</v>
      </c>
    </row>
    <row r="340" spans="1:5" x14ac:dyDescent="0.25">
      <c r="A340" s="14" t="b">
        <v>0</v>
      </c>
      <c r="B340" s="39" t="b">
        <v>0</v>
      </c>
      <c r="C340" s="15" t="s">
        <v>497</v>
      </c>
      <c r="D340" s="47" t="s">
        <v>306</v>
      </c>
      <c r="E340" s="27" t="s">
        <v>579</v>
      </c>
    </row>
    <row r="341" spans="1:5" x14ac:dyDescent="0.25">
      <c r="A341" s="14" t="b">
        <v>0</v>
      </c>
      <c r="B341" s="39" t="b">
        <v>0</v>
      </c>
      <c r="C341" s="15" t="s">
        <v>497</v>
      </c>
      <c r="D341" s="47" t="s">
        <v>307</v>
      </c>
      <c r="E341" s="27" t="s">
        <v>579</v>
      </c>
    </row>
    <row r="342" spans="1:5" x14ac:dyDescent="0.25">
      <c r="A342" s="14" t="b">
        <v>0</v>
      </c>
      <c r="B342" s="39" t="b">
        <v>0</v>
      </c>
      <c r="C342" s="15" t="s">
        <v>497</v>
      </c>
      <c r="D342" s="47" t="s">
        <v>308</v>
      </c>
      <c r="E342" s="27" t="s">
        <v>579</v>
      </c>
    </row>
    <row r="343" spans="1:5" x14ac:dyDescent="0.25">
      <c r="A343" s="14" t="b">
        <v>0</v>
      </c>
      <c r="B343" s="39" t="b">
        <v>0</v>
      </c>
      <c r="C343" s="15" t="s">
        <v>497</v>
      </c>
      <c r="D343" s="47" t="s">
        <v>309</v>
      </c>
      <c r="E343" s="27" t="s">
        <v>579</v>
      </c>
    </row>
    <row r="344" spans="1:5" x14ac:dyDescent="0.25">
      <c r="A344" s="14" t="b">
        <v>0</v>
      </c>
      <c r="B344" s="39" t="b">
        <v>0</v>
      </c>
      <c r="C344" s="15" t="s">
        <v>497</v>
      </c>
      <c r="D344" s="47" t="s">
        <v>310</v>
      </c>
      <c r="E344" s="27" t="s">
        <v>579</v>
      </c>
    </row>
    <row r="345" spans="1:5" ht="15.75" thickBot="1" x14ac:dyDescent="0.3">
      <c r="A345" s="16" t="b">
        <v>0</v>
      </c>
      <c r="B345" s="17" t="b">
        <v>0</v>
      </c>
      <c r="C345" s="18" t="s">
        <v>497</v>
      </c>
      <c r="D345" s="48" t="s">
        <v>311</v>
      </c>
      <c r="E345" s="28" t="s">
        <v>579</v>
      </c>
    </row>
    <row r="346" spans="1:5" ht="15.75" thickBot="1" x14ac:dyDescent="0.3">
      <c r="A346" s="40"/>
      <c r="B346" s="40"/>
      <c r="C346" s="40"/>
      <c r="D346" s="45" t="s">
        <v>312</v>
      </c>
    </row>
    <row r="347" spans="1:5" x14ac:dyDescent="0.25">
      <c r="A347" s="11" t="b">
        <v>0</v>
      </c>
      <c r="B347" s="12" t="b">
        <v>0</v>
      </c>
      <c r="C347" s="13" t="s">
        <v>497</v>
      </c>
      <c r="D347" s="46" t="s">
        <v>313</v>
      </c>
      <c r="E347" s="26" t="s">
        <v>629</v>
      </c>
    </row>
    <row r="348" spans="1:5" ht="30" x14ac:dyDescent="0.25">
      <c r="A348" s="14" t="b">
        <v>0</v>
      </c>
      <c r="B348" s="39" t="b">
        <v>0</v>
      </c>
      <c r="C348" s="15" t="s">
        <v>497</v>
      </c>
      <c r="D348" s="47" t="s">
        <v>314</v>
      </c>
      <c r="E348" s="36" t="s">
        <v>614</v>
      </c>
    </row>
    <row r="349" spans="1:5" ht="60" x14ac:dyDescent="0.25">
      <c r="A349" s="14" t="b">
        <v>1</v>
      </c>
      <c r="B349" s="39" t="b">
        <v>1</v>
      </c>
      <c r="C349" s="15" t="s">
        <v>488</v>
      </c>
      <c r="D349" s="47" t="s">
        <v>315</v>
      </c>
      <c r="E349" s="36" t="s">
        <v>635</v>
      </c>
    </row>
    <row r="350" spans="1:5" ht="30" x14ac:dyDescent="0.25">
      <c r="A350" s="14" t="b">
        <v>0</v>
      </c>
      <c r="B350" s="39" t="b">
        <v>0</v>
      </c>
      <c r="C350" s="15" t="s">
        <v>497</v>
      </c>
      <c r="D350" s="47" t="s">
        <v>316</v>
      </c>
      <c r="E350" s="36" t="s">
        <v>614</v>
      </c>
    </row>
    <row r="351" spans="1:5" ht="60" x14ac:dyDescent="0.25">
      <c r="A351" s="14" t="b">
        <v>1</v>
      </c>
      <c r="B351" s="39" t="b">
        <v>1</v>
      </c>
      <c r="C351" s="15" t="s">
        <v>488</v>
      </c>
      <c r="D351" s="47" t="s">
        <v>317</v>
      </c>
      <c r="E351" s="36" t="s">
        <v>633</v>
      </c>
    </row>
    <row r="352" spans="1:5" x14ac:dyDescent="0.25">
      <c r="A352" s="14" t="b">
        <v>0</v>
      </c>
      <c r="B352" s="39" t="b">
        <v>0</v>
      </c>
      <c r="C352" s="15" t="s">
        <v>497</v>
      </c>
      <c r="D352" s="47" t="s">
        <v>318</v>
      </c>
      <c r="E352" s="27" t="s">
        <v>632</v>
      </c>
    </row>
    <row r="353" spans="1:5" x14ac:dyDescent="0.25">
      <c r="A353" s="14" t="b">
        <v>0</v>
      </c>
      <c r="B353" s="39" t="b">
        <v>0</v>
      </c>
      <c r="C353" s="15" t="s">
        <v>497</v>
      </c>
      <c r="D353" s="47" t="s">
        <v>319</v>
      </c>
      <c r="E353" s="27" t="s">
        <v>632</v>
      </c>
    </row>
    <row r="354" spans="1:5" x14ac:dyDescent="0.25">
      <c r="A354" s="14" t="b">
        <v>1</v>
      </c>
      <c r="B354" s="39" t="b">
        <v>1</v>
      </c>
      <c r="C354" s="15" t="s">
        <v>497</v>
      </c>
      <c r="D354" s="47" t="s">
        <v>320</v>
      </c>
      <c r="E354" s="27" t="s">
        <v>632</v>
      </c>
    </row>
    <row r="355" spans="1:5" x14ac:dyDescent="0.25">
      <c r="A355" s="14" t="b">
        <v>1</v>
      </c>
      <c r="B355" s="39" t="b">
        <v>1</v>
      </c>
      <c r="C355" s="15" t="s">
        <v>497</v>
      </c>
      <c r="D355" s="47" t="s">
        <v>321</v>
      </c>
      <c r="E355" s="27" t="s">
        <v>632</v>
      </c>
    </row>
    <row r="356" spans="1:5" ht="60" x14ac:dyDescent="0.25">
      <c r="A356" s="14" t="b">
        <v>1</v>
      </c>
      <c r="B356" s="39" t="b">
        <v>1</v>
      </c>
      <c r="C356" s="15" t="s">
        <v>488</v>
      </c>
      <c r="D356" s="47" t="s">
        <v>322</v>
      </c>
      <c r="E356" s="36" t="s">
        <v>634</v>
      </c>
    </row>
    <row r="357" spans="1:5" x14ac:dyDescent="0.25">
      <c r="A357" s="14" t="b">
        <v>1</v>
      </c>
      <c r="B357" s="39" t="b">
        <v>1</v>
      </c>
      <c r="C357" s="15" t="s">
        <v>488</v>
      </c>
      <c r="D357" s="47" t="s">
        <v>323</v>
      </c>
      <c r="E357" s="27"/>
    </row>
    <row r="358" spans="1:5" ht="15.75" thickBot="1" x14ac:dyDescent="0.3">
      <c r="A358" s="16" t="b">
        <v>1</v>
      </c>
      <c r="B358" s="17" t="b">
        <v>1</v>
      </c>
      <c r="C358" s="18" t="s">
        <v>488</v>
      </c>
      <c r="D358" s="48" t="s">
        <v>324</v>
      </c>
      <c r="E358" s="28"/>
    </row>
    <row r="359" spans="1:5" ht="15.75" thickBot="1" x14ac:dyDescent="0.3">
      <c r="A359" s="40"/>
      <c r="B359" s="40"/>
      <c r="C359" s="40"/>
      <c r="D359" s="45" t="s">
        <v>325</v>
      </c>
    </row>
    <row r="360" spans="1:5" ht="30" x14ac:dyDescent="0.25">
      <c r="A360" s="11" t="b">
        <v>1</v>
      </c>
      <c r="B360" s="12" t="b">
        <v>1</v>
      </c>
      <c r="C360" s="13" t="s">
        <v>498</v>
      </c>
      <c r="D360" s="46" t="s">
        <v>326</v>
      </c>
      <c r="E360" s="71" t="s">
        <v>626</v>
      </c>
    </row>
    <row r="361" spans="1:5" ht="30" x14ac:dyDescent="0.25">
      <c r="A361" s="14" t="b">
        <v>1</v>
      </c>
      <c r="B361" s="39" t="b">
        <v>1</v>
      </c>
      <c r="C361" s="15" t="s">
        <v>488</v>
      </c>
      <c r="D361" s="47" t="s">
        <v>327</v>
      </c>
      <c r="E361" s="36" t="s">
        <v>627</v>
      </c>
    </row>
    <row r="362" spans="1:5" ht="30" x14ac:dyDescent="0.25">
      <c r="A362" s="14" t="b">
        <v>1</v>
      </c>
      <c r="B362" s="39" t="b">
        <v>1</v>
      </c>
      <c r="C362" s="15" t="s">
        <v>488</v>
      </c>
      <c r="D362" s="47" t="s">
        <v>328</v>
      </c>
      <c r="E362" s="36" t="s">
        <v>627</v>
      </c>
    </row>
    <row r="363" spans="1:5" x14ac:dyDescent="0.25">
      <c r="A363" s="14" t="b">
        <v>1</v>
      </c>
      <c r="B363" s="39" t="b">
        <v>1</v>
      </c>
      <c r="C363" s="15" t="s">
        <v>497</v>
      </c>
      <c r="D363" s="51" t="s">
        <v>329</v>
      </c>
      <c r="E363" s="27" t="s">
        <v>624</v>
      </c>
    </row>
    <row r="364" spans="1:5" x14ac:dyDescent="0.25">
      <c r="A364" s="14" t="b">
        <v>1</v>
      </c>
      <c r="B364" s="39" t="b">
        <v>1</v>
      </c>
      <c r="C364" s="15" t="s">
        <v>497</v>
      </c>
      <c r="D364" s="47" t="s">
        <v>330</v>
      </c>
      <c r="E364" s="27" t="s">
        <v>625</v>
      </c>
    </row>
    <row r="365" spans="1:5" x14ac:dyDescent="0.25">
      <c r="A365" s="14" t="b">
        <v>1</v>
      </c>
      <c r="B365" s="39" t="b">
        <v>1</v>
      </c>
      <c r="C365" s="15" t="s">
        <v>488</v>
      </c>
      <c r="D365" s="47" t="s">
        <v>331</v>
      </c>
      <c r="E365" s="27" t="s">
        <v>628</v>
      </c>
    </row>
    <row r="366" spans="1:5" x14ac:dyDescent="0.25">
      <c r="A366" s="14" t="b">
        <v>0</v>
      </c>
      <c r="B366" s="39" t="b">
        <v>0</v>
      </c>
      <c r="C366" s="15" t="s">
        <v>497</v>
      </c>
      <c r="D366" s="47" t="s">
        <v>332</v>
      </c>
      <c r="E366" s="27" t="s">
        <v>613</v>
      </c>
    </row>
    <row r="367" spans="1:5" ht="15.75" thickBot="1" x14ac:dyDescent="0.3">
      <c r="A367" s="16" t="b">
        <v>1</v>
      </c>
      <c r="B367" s="17" t="b">
        <v>1</v>
      </c>
      <c r="C367" s="18" t="s">
        <v>488</v>
      </c>
      <c r="D367" s="48" t="s">
        <v>333</v>
      </c>
      <c r="E367" s="28" t="s">
        <v>628</v>
      </c>
    </row>
    <row r="368" spans="1:5" ht="15.75" thickBot="1" x14ac:dyDescent="0.3">
      <c r="A368" s="40"/>
      <c r="B368" s="40"/>
      <c r="C368" s="40"/>
      <c r="D368" s="45" t="s">
        <v>334</v>
      </c>
    </row>
    <row r="369" spans="1:5" x14ac:dyDescent="0.25">
      <c r="A369" s="11" t="b">
        <v>0</v>
      </c>
      <c r="B369" s="12" t="b">
        <v>0</v>
      </c>
      <c r="C369" s="13" t="s">
        <v>497</v>
      </c>
      <c r="D369" s="46" t="s">
        <v>335</v>
      </c>
      <c r="E369" s="26" t="s">
        <v>611</v>
      </c>
    </row>
    <row r="370" spans="1:5" x14ac:dyDescent="0.25">
      <c r="A370" s="14" t="b">
        <v>0</v>
      </c>
      <c r="B370" s="39" t="b">
        <v>0</v>
      </c>
      <c r="C370" s="15" t="s">
        <v>497</v>
      </c>
      <c r="D370" s="47" t="s">
        <v>336</v>
      </c>
      <c r="E370" s="27" t="s">
        <v>611</v>
      </c>
    </row>
    <row r="371" spans="1:5" x14ac:dyDescent="0.25">
      <c r="A371" s="14" t="b">
        <v>0</v>
      </c>
      <c r="B371" s="39" t="b">
        <v>0</v>
      </c>
      <c r="C371" s="15" t="s">
        <v>497</v>
      </c>
      <c r="D371" s="47" t="s">
        <v>337</v>
      </c>
      <c r="E371" s="27" t="s">
        <v>611</v>
      </c>
    </row>
    <row r="372" spans="1:5" x14ac:dyDescent="0.25">
      <c r="A372" s="14" t="b">
        <v>0</v>
      </c>
      <c r="B372" s="39" t="b">
        <v>0</v>
      </c>
      <c r="C372" s="15" t="s">
        <v>497</v>
      </c>
      <c r="D372" s="47" t="s">
        <v>338</v>
      </c>
      <c r="E372" s="27" t="s">
        <v>610</v>
      </c>
    </row>
    <row r="373" spans="1:5" x14ac:dyDescent="0.25">
      <c r="A373" s="14" t="b">
        <v>0</v>
      </c>
      <c r="B373" s="39" t="b">
        <v>0</v>
      </c>
      <c r="C373" s="15" t="s">
        <v>497</v>
      </c>
      <c r="D373" s="47" t="s">
        <v>339</v>
      </c>
      <c r="E373" s="27" t="s">
        <v>610</v>
      </c>
    </row>
    <row r="374" spans="1:5" x14ac:dyDescent="0.25">
      <c r="A374" s="14" t="b">
        <v>0</v>
      </c>
      <c r="B374" s="39" t="b">
        <v>0</v>
      </c>
      <c r="C374" s="15" t="s">
        <v>497</v>
      </c>
      <c r="D374" s="47" t="s">
        <v>340</v>
      </c>
      <c r="E374" s="27" t="s">
        <v>610</v>
      </c>
    </row>
    <row r="375" spans="1:5" x14ac:dyDescent="0.25">
      <c r="A375" s="14" t="b">
        <v>0</v>
      </c>
      <c r="B375" s="39" t="b">
        <v>0</v>
      </c>
      <c r="C375" s="15" t="s">
        <v>497</v>
      </c>
      <c r="D375" s="47" t="s">
        <v>341</v>
      </c>
      <c r="E375" s="27" t="s">
        <v>610</v>
      </c>
    </row>
    <row r="376" spans="1:5" x14ac:dyDescent="0.25">
      <c r="A376" s="14" t="b">
        <v>0</v>
      </c>
      <c r="B376" s="39" t="b">
        <v>0</v>
      </c>
      <c r="C376" s="15" t="s">
        <v>497</v>
      </c>
      <c r="D376" s="47" t="s">
        <v>342</v>
      </c>
      <c r="E376" s="27" t="s">
        <v>610</v>
      </c>
    </row>
    <row r="377" spans="1:5" x14ac:dyDescent="0.25">
      <c r="A377" s="14" t="b">
        <v>0</v>
      </c>
      <c r="B377" s="39" t="b">
        <v>0</v>
      </c>
      <c r="C377" s="15" t="s">
        <v>497</v>
      </c>
      <c r="D377" s="47" t="s">
        <v>343</v>
      </c>
      <c r="E377" s="27" t="s">
        <v>610</v>
      </c>
    </row>
    <row r="378" spans="1:5" x14ac:dyDescent="0.25">
      <c r="A378" s="14" t="b">
        <v>1</v>
      </c>
      <c r="B378" s="39" t="b">
        <v>1</v>
      </c>
      <c r="C378" s="15" t="s">
        <v>488</v>
      </c>
      <c r="D378" s="47" t="s">
        <v>344</v>
      </c>
      <c r="E378" s="27" t="s">
        <v>631</v>
      </c>
    </row>
    <row r="379" spans="1:5" ht="15.75" thickBot="1" x14ac:dyDescent="0.3">
      <c r="A379" s="16" t="b">
        <v>0</v>
      </c>
      <c r="B379" s="17" t="b">
        <v>0</v>
      </c>
      <c r="C379" s="18" t="s">
        <v>497</v>
      </c>
      <c r="D379" s="48" t="s">
        <v>598</v>
      </c>
      <c r="E379" s="28" t="s">
        <v>612</v>
      </c>
    </row>
    <row r="380" spans="1:5" ht="15.75" thickBot="1" x14ac:dyDescent="0.3">
      <c r="A380" s="40"/>
      <c r="B380" s="40"/>
      <c r="C380" s="40"/>
      <c r="D380" s="45" t="s">
        <v>345</v>
      </c>
    </row>
    <row r="381" spans="1:5" x14ac:dyDescent="0.25">
      <c r="A381" s="11" t="b">
        <v>0</v>
      </c>
      <c r="B381" s="12" t="b">
        <v>0</v>
      </c>
      <c r="C381" s="13" t="s">
        <v>497</v>
      </c>
      <c r="D381" s="46" t="s">
        <v>294</v>
      </c>
      <c r="E381" s="26" t="s">
        <v>579</v>
      </c>
    </row>
    <row r="382" spans="1:5" x14ac:dyDescent="0.25">
      <c r="A382" s="14" t="b">
        <v>1</v>
      </c>
      <c r="B382" s="39" t="b">
        <v>1</v>
      </c>
      <c r="C382" s="15" t="s">
        <v>488</v>
      </c>
      <c r="D382" s="47" t="s">
        <v>346</v>
      </c>
      <c r="E382" s="27"/>
    </row>
    <row r="383" spans="1:5" x14ac:dyDescent="0.25">
      <c r="A383" s="14" t="b">
        <v>1</v>
      </c>
      <c r="B383" s="39" t="b">
        <v>1</v>
      </c>
      <c r="C383" s="15" t="s">
        <v>488</v>
      </c>
      <c r="D383" s="47" t="s">
        <v>347</v>
      </c>
      <c r="E383" s="27"/>
    </row>
    <row r="384" spans="1:5" x14ac:dyDescent="0.25">
      <c r="A384" s="14" t="b">
        <v>1</v>
      </c>
      <c r="B384" s="39" t="b">
        <v>1</v>
      </c>
      <c r="C384" s="15" t="s">
        <v>488</v>
      </c>
      <c r="D384" s="47" t="s">
        <v>348</v>
      </c>
      <c r="E384" s="27"/>
    </row>
    <row r="385" spans="1:5" x14ac:dyDescent="0.25">
      <c r="A385" s="14" t="b">
        <v>1</v>
      </c>
      <c r="B385" s="39" t="b">
        <v>1</v>
      </c>
      <c r="C385" s="15" t="s">
        <v>488</v>
      </c>
      <c r="D385" s="47" t="s">
        <v>349</v>
      </c>
      <c r="E385" s="27"/>
    </row>
    <row r="386" spans="1:5" x14ac:dyDescent="0.25">
      <c r="A386" s="14" t="b">
        <v>1</v>
      </c>
      <c r="B386" s="39" t="b">
        <v>1</v>
      </c>
      <c r="C386" s="15" t="s">
        <v>488</v>
      </c>
      <c r="D386" s="47" t="s">
        <v>350</v>
      </c>
      <c r="E386" s="27"/>
    </row>
    <row r="387" spans="1:5" x14ac:dyDescent="0.25">
      <c r="A387" s="14" t="b">
        <v>0</v>
      </c>
      <c r="B387" s="39" t="b">
        <v>0</v>
      </c>
      <c r="C387" s="15" t="s">
        <v>497</v>
      </c>
      <c r="D387" s="47" t="s">
        <v>313</v>
      </c>
      <c r="E387" s="27" t="s">
        <v>629</v>
      </c>
    </row>
    <row r="388" spans="1:5" x14ac:dyDescent="0.25">
      <c r="A388" s="14" t="b">
        <v>1</v>
      </c>
      <c r="B388" s="39" t="b">
        <v>1</v>
      </c>
      <c r="C388" s="15" t="s">
        <v>488</v>
      </c>
      <c r="D388" s="47" t="s">
        <v>351</v>
      </c>
      <c r="E388" s="27"/>
    </row>
    <row r="389" spans="1:5" x14ac:dyDescent="0.25">
      <c r="A389" s="14" t="b">
        <v>1</v>
      </c>
      <c r="B389" s="39" t="b">
        <v>1</v>
      </c>
      <c r="C389" s="15" t="s">
        <v>488</v>
      </c>
      <c r="D389" s="47" t="s">
        <v>352</v>
      </c>
      <c r="E389" s="27"/>
    </row>
    <row r="390" spans="1:5" x14ac:dyDescent="0.25">
      <c r="A390" s="14" t="b">
        <v>0</v>
      </c>
      <c r="B390" s="39" t="b">
        <v>0</v>
      </c>
      <c r="C390" s="15" t="s">
        <v>497</v>
      </c>
      <c r="D390" s="47" t="s">
        <v>353</v>
      </c>
      <c r="E390" s="27" t="s">
        <v>630</v>
      </c>
    </row>
    <row r="391" spans="1:5" x14ac:dyDescent="0.25">
      <c r="A391" s="14" t="b">
        <v>0</v>
      </c>
      <c r="B391" s="39" t="b">
        <v>0</v>
      </c>
      <c r="C391" s="15" t="s">
        <v>497</v>
      </c>
      <c r="D391" s="47" t="s">
        <v>354</v>
      </c>
      <c r="E391" s="27" t="s">
        <v>524</v>
      </c>
    </row>
    <row r="392" spans="1:5" x14ac:dyDescent="0.25">
      <c r="A392" s="14" t="b">
        <v>1</v>
      </c>
      <c r="B392" s="39" t="b">
        <v>1</v>
      </c>
      <c r="C392" s="15" t="s">
        <v>498</v>
      </c>
      <c r="D392" s="47" t="s">
        <v>355</v>
      </c>
      <c r="E392" s="27"/>
    </row>
    <row r="393" spans="1:5" x14ac:dyDescent="0.25">
      <c r="A393" s="14" t="b">
        <v>1</v>
      </c>
      <c r="B393" s="39" t="b">
        <v>1</v>
      </c>
      <c r="C393" s="15" t="s">
        <v>488</v>
      </c>
      <c r="D393" s="47" t="s">
        <v>323</v>
      </c>
      <c r="E393" s="27"/>
    </row>
    <row r="394" spans="1:5" x14ac:dyDescent="0.25">
      <c r="A394" s="14" t="b">
        <v>1</v>
      </c>
      <c r="B394" s="39" t="b">
        <v>1</v>
      </c>
      <c r="C394" s="15" t="s">
        <v>488</v>
      </c>
      <c r="D394" s="47" t="s">
        <v>356</v>
      </c>
      <c r="E394" s="27"/>
    </row>
    <row r="395" spans="1:5" x14ac:dyDescent="0.25">
      <c r="A395" s="14" t="b">
        <v>1</v>
      </c>
      <c r="B395" s="39" t="b">
        <v>1</v>
      </c>
      <c r="C395" s="15" t="s">
        <v>488</v>
      </c>
      <c r="D395" s="47" t="s">
        <v>324</v>
      </c>
      <c r="E395" s="27"/>
    </row>
    <row r="396" spans="1:5" x14ac:dyDescent="0.25">
      <c r="A396" s="14" t="b">
        <v>1</v>
      </c>
      <c r="B396" s="39" t="b">
        <v>1</v>
      </c>
      <c r="C396" s="15" t="s">
        <v>488</v>
      </c>
      <c r="D396" s="47" t="s">
        <v>357</v>
      </c>
      <c r="E396" s="27"/>
    </row>
    <row r="397" spans="1:5" x14ac:dyDescent="0.25">
      <c r="A397" s="14" t="b">
        <v>1</v>
      </c>
      <c r="B397" s="39" t="b">
        <v>1</v>
      </c>
      <c r="C397" s="15" t="s">
        <v>488</v>
      </c>
      <c r="D397" s="47" t="s">
        <v>358</v>
      </c>
      <c r="E397" s="27"/>
    </row>
    <row r="398" spans="1:5" x14ac:dyDescent="0.25">
      <c r="A398" s="14" t="b">
        <v>1</v>
      </c>
      <c r="B398" s="39" t="b">
        <v>1</v>
      </c>
      <c r="C398" s="15" t="s">
        <v>488</v>
      </c>
      <c r="D398" s="47" t="s">
        <v>359</v>
      </c>
      <c r="E398" s="27"/>
    </row>
    <row r="399" spans="1:5" x14ac:dyDescent="0.25">
      <c r="A399" s="14" t="b">
        <v>0</v>
      </c>
      <c r="B399" s="39" t="b">
        <v>0</v>
      </c>
      <c r="C399" s="15" t="s">
        <v>497</v>
      </c>
      <c r="D399" s="47" t="s">
        <v>211</v>
      </c>
      <c r="E399" s="27" t="s">
        <v>510</v>
      </c>
    </row>
    <row r="400" spans="1:5" x14ac:dyDescent="0.25">
      <c r="A400" s="14" t="b">
        <v>0</v>
      </c>
      <c r="B400" s="39" t="b">
        <v>0</v>
      </c>
      <c r="C400" s="15" t="s">
        <v>497</v>
      </c>
      <c r="D400" s="47" t="s">
        <v>360</v>
      </c>
      <c r="E400" s="27" t="s">
        <v>578</v>
      </c>
    </row>
    <row r="401" spans="1:5" ht="15.75" thickBot="1" x14ac:dyDescent="0.3">
      <c r="A401" s="16" t="b">
        <v>1</v>
      </c>
      <c r="B401" s="17" t="b">
        <v>1</v>
      </c>
      <c r="C401" s="18" t="s">
        <v>488</v>
      </c>
      <c r="D401" s="48" t="s">
        <v>361</v>
      </c>
      <c r="E401" s="28" t="s">
        <v>615</v>
      </c>
    </row>
    <row r="402" spans="1:5" ht="15.75" thickBot="1" x14ac:dyDescent="0.3">
      <c r="A402" s="40"/>
      <c r="B402" s="40"/>
      <c r="C402" s="40"/>
      <c r="D402" s="45" t="s">
        <v>362</v>
      </c>
    </row>
    <row r="403" spans="1:5" x14ac:dyDescent="0.25">
      <c r="A403" s="11" t="b">
        <v>0</v>
      </c>
      <c r="B403" s="12" t="b">
        <v>0</v>
      </c>
      <c r="C403" s="13" t="s">
        <v>497</v>
      </c>
      <c r="D403" s="46" t="s">
        <v>363</v>
      </c>
      <c r="E403" s="6" t="s">
        <v>577</v>
      </c>
    </row>
    <row r="404" spans="1:5" x14ac:dyDescent="0.25">
      <c r="A404" s="14" t="b">
        <v>0</v>
      </c>
      <c r="B404" s="39" t="b">
        <v>0</v>
      </c>
      <c r="C404" s="15" t="s">
        <v>497</v>
      </c>
      <c r="D404" s="47" t="s">
        <v>364</v>
      </c>
      <c r="E404" s="8" t="s">
        <v>577</v>
      </c>
    </row>
    <row r="405" spans="1:5" x14ac:dyDescent="0.25">
      <c r="A405" s="14" t="b">
        <v>0</v>
      </c>
      <c r="B405" s="39" t="b">
        <v>0</v>
      </c>
      <c r="C405" s="15" t="s">
        <v>497</v>
      </c>
      <c r="D405" s="47" t="s">
        <v>365</v>
      </c>
      <c r="E405" s="8" t="s">
        <v>577</v>
      </c>
    </row>
    <row r="406" spans="1:5" ht="15.75" thickBot="1" x14ac:dyDescent="0.3">
      <c r="A406" s="16" t="b">
        <v>0</v>
      </c>
      <c r="B406" s="17" t="b">
        <v>0</v>
      </c>
      <c r="C406" s="18" t="s">
        <v>497</v>
      </c>
      <c r="D406" s="48" t="s">
        <v>366</v>
      </c>
      <c r="E406" s="7" t="s">
        <v>577</v>
      </c>
    </row>
    <row r="407" spans="1:5" ht="15.75" thickBot="1" x14ac:dyDescent="0.3">
      <c r="A407" s="40"/>
      <c r="B407" s="40"/>
      <c r="C407" s="40"/>
      <c r="D407" s="45" t="s">
        <v>367</v>
      </c>
    </row>
    <row r="408" spans="1:5" x14ac:dyDescent="0.25">
      <c r="A408" s="11" t="b">
        <v>0</v>
      </c>
      <c r="B408" s="12" t="b">
        <v>0</v>
      </c>
      <c r="C408" s="13" t="s">
        <v>497</v>
      </c>
      <c r="D408" s="46" t="s">
        <v>294</v>
      </c>
      <c r="E408" s="6" t="s">
        <v>579</v>
      </c>
    </row>
    <row r="409" spans="1:5" x14ac:dyDescent="0.25">
      <c r="A409" s="14" t="b">
        <v>1</v>
      </c>
      <c r="B409" s="39" t="b">
        <v>1</v>
      </c>
      <c r="C409" s="15" t="s">
        <v>488</v>
      </c>
      <c r="D409" s="47" t="s">
        <v>368</v>
      </c>
      <c r="E409" s="8"/>
    </row>
    <row r="410" spans="1:5" x14ac:dyDescent="0.25">
      <c r="A410" s="14" t="b">
        <v>1</v>
      </c>
      <c r="B410" s="39" t="b">
        <v>1</v>
      </c>
      <c r="C410" s="15" t="s">
        <v>488</v>
      </c>
      <c r="D410" s="47" t="s">
        <v>369</v>
      </c>
      <c r="E410" s="8"/>
    </row>
    <row r="411" spans="1:5" x14ac:dyDescent="0.25">
      <c r="A411" s="14" t="b">
        <v>1</v>
      </c>
      <c r="B411" s="39" t="b">
        <v>1</v>
      </c>
      <c r="C411" s="15" t="s">
        <v>488</v>
      </c>
      <c r="D411" s="47" t="s">
        <v>370</v>
      </c>
      <c r="E411" s="8"/>
    </row>
    <row r="412" spans="1:5" x14ac:dyDescent="0.25">
      <c r="A412" s="14" t="b">
        <v>1</v>
      </c>
      <c r="B412" s="39" t="b">
        <v>1</v>
      </c>
      <c r="C412" s="15" t="s">
        <v>488</v>
      </c>
      <c r="D412" s="47" t="s">
        <v>371</v>
      </c>
      <c r="E412" s="8"/>
    </row>
    <row r="413" spans="1:5" x14ac:dyDescent="0.25">
      <c r="A413" s="14" t="b">
        <v>1</v>
      </c>
      <c r="B413" s="39" t="b">
        <v>1</v>
      </c>
      <c r="C413" s="15" t="s">
        <v>488</v>
      </c>
      <c r="D413" s="47" t="s">
        <v>372</v>
      </c>
      <c r="E413" s="8"/>
    </row>
    <row r="414" spans="1:5" x14ac:dyDescent="0.25">
      <c r="A414" s="14" t="b">
        <v>1</v>
      </c>
      <c r="B414" s="39" t="b">
        <v>1</v>
      </c>
      <c r="C414" s="15" t="s">
        <v>498</v>
      </c>
      <c r="D414" s="47" t="s">
        <v>373</v>
      </c>
      <c r="E414" s="8" t="s">
        <v>600</v>
      </c>
    </row>
    <row r="415" spans="1:5" x14ac:dyDescent="0.25">
      <c r="A415" s="14" t="b">
        <v>1</v>
      </c>
      <c r="B415" s="39" t="b">
        <v>1</v>
      </c>
      <c r="C415" s="15" t="s">
        <v>488</v>
      </c>
      <c r="D415" s="47" t="s">
        <v>374</v>
      </c>
      <c r="E415" s="8"/>
    </row>
    <row r="416" spans="1:5" x14ac:dyDescent="0.25">
      <c r="A416" s="14" t="b">
        <v>0</v>
      </c>
      <c r="B416" s="39" t="b">
        <v>0</v>
      </c>
      <c r="C416" s="15" t="s">
        <v>497</v>
      </c>
      <c r="D416" s="47" t="s">
        <v>375</v>
      </c>
      <c r="E416" s="8" t="s">
        <v>602</v>
      </c>
    </row>
    <row r="417" spans="1:5" x14ac:dyDescent="0.25">
      <c r="A417" s="14" t="b">
        <v>0</v>
      </c>
      <c r="B417" s="39" t="b">
        <v>0</v>
      </c>
      <c r="C417" s="15" t="s">
        <v>497</v>
      </c>
      <c r="D417" s="47" t="s">
        <v>376</v>
      </c>
      <c r="E417" s="8" t="s">
        <v>602</v>
      </c>
    </row>
    <row r="418" spans="1:5" x14ac:dyDescent="0.25">
      <c r="A418" s="14" t="b">
        <v>0</v>
      </c>
      <c r="B418" s="39" t="b">
        <v>0</v>
      </c>
      <c r="C418" s="15" t="s">
        <v>497</v>
      </c>
      <c r="D418" s="47" t="s">
        <v>377</v>
      </c>
      <c r="E418" s="8" t="s">
        <v>602</v>
      </c>
    </row>
    <row r="419" spans="1:5" x14ac:dyDescent="0.25">
      <c r="A419" s="14" t="b">
        <v>1</v>
      </c>
      <c r="B419" s="39" t="b">
        <v>1</v>
      </c>
      <c r="C419" s="15" t="s">
        <v>488</v>
      </c>
      <c r="D419" s="47" t="s">
        <v>350</v>
      </c>
      <c r="E419" s="8"/>
    </row>
    <row r="420" spans="1:5" x14ac:dyDescent="0.25">
      <c r="A420" s="14" t="b">
        <v>0</v>
      </c>
      <c r="B420" s="39" t="b">
        <v>0</v>
      </c>
      <c r="C420" s="15" t="s">
        <v>497</v>
      </c>
      <c r="D420" s="47" t="s">
        <v>378</v>
      </c>
      <c r="E420" s="8" t="s">
        <v>603</v>
      </c>
    </row>
    <row r="421" spans="1:5" x14ac:dyDescent="0.25">
      <c r="A421" s="14" t="b">
        <v>0</v>
      </c>
      <c r="B421" s="39" t="b">
        <v>0</v>
      </c>
      <c r="C421" s="15" t="s">
        <v>497</v>
      </c>
      <c r="D421" s="47" t="s">
        <v>379</v>
      </c>
      <c r="E421" s="8" t="s">
        <v>603</v>
      </c>
    </row>
    <row r="422" spans="1:5" x14ac:dyDescent="0.25">
      <c r="A422" s="14" t="b">
        <v>0</v>
      </c>
      <c r="B422" s="39" t="b">
        <v>0</v>
      </c>
      <c r="C422" s="15" t="s">
        <v>497</v>
      </c>
      <c r="D422" s="47" t="s">
        <v>380</v>
      </c>
      <c r="E422" s="8" t="s">
        <v>603</v>
      </c>
    </row>
    <row r="423" spans="1:5" x14ac:dyDescent="0.25">
      <c r="A423" s="14" t="b">
        <v>0</v>
      </c>
      <c r="B423" s="39" t="b">
        <v>0</v>
      </c>
      <c r="C423" s="15" t="s">
        <v>497</v>
      </c>
      <c r="D423" s="47" t="s">
        <v>381</v>
      </c>
      <c r="E423" s="8" t="s">
        <v>603</v>
      </c>
    </row>
    <row r="424" spans="1:5" x14ac:dyDescent="0.25">
      <c r="A424" s="14" t="b">
        <v>0</v>
      </c>
      <c r="B424" s="39" t="b">
        <v>0</v>
      </c>
      <c r="C424" s="15" t="s">
        <v>497</v>
      </c>
      <c r="D424" s="47" t="s">
        <v>382</v>
      </c>
      <c r="E424" s="8" t="s">
        <v>603</v>
      </c>
    </row>
    <row r="425" spans="1:5" x14ac:dyDescent="0.25">
      <c r="A425" s="14" t="b">
        <v>0</v>
      </c>
      <c r="B425" s="39" t="b">
        <v>0</v>
      </c>
      <c r="C425" s="15" t="s">
        <v>497</v>
      </c>
      <c r="D425" s="47" t="s">
        <v>383</v>
      </c>
      <c r="E425" s="8" t="s">
        <v>603</v>
      </c>
    </row>
    <row r="426" spans="1:5" x14ac:dyDescent="0.25">
      <c r="A426" s="14" t="b">
        <v>0</v>
      </c>
      <c r="B426" s="39" t="b">
        <v>0</v>
      </c>
      <c r="C426" s="15" t="s">
        <v>497</v>
      </c>
      <c r="D426" s="47" t="s">
        <v>384</v>
      </c>
      <c r="E426" s="8" t="s">
        <v>603</v>
      </c>
    </row>
    <row r="427" spans="1:5" x14ac:dyDescent="0.25">
      <c r="A427" s="14" t="b">
        <v>0</v>
      </c>
      <c r="B427" s="39" t="b">
        <v>0</v>
      </c>
      <c r="C427" s="15" t="s">
        <v>497</v>
      </c>
      <c r="D427" s="47" t="s">
        <v>385</v>
      </c>
      <c r="E427" s="8" t="s">
        <v>603</v>
      </c>
    </row>
    <row r="428" spans="1:5" x14ac:dyDescent="0.25">
      <c r="A428" s="14" t="b">
        <v>0</v>
      </c>
      <c r="B428" s="39" t="b">
        <v>0</v>
      </c>
      <c r="C428" s="15" t="s">
        <v>497</v>
      </c>
      <c r="D428" s="47" t="s">
        <v>386</v>
      </c>
      <c r="E428" s="8" t="s">
        <v>603</v>
      </c>
    </row>
    <row r="429" spans="1:5" x14ac:dyDescent="0.25">
      <c r="A429" s="14" t="b">
        <v>0</v>
      </c>
      <c r="B429" s="39" t="b">
        <v>0</v>
      </c>
      <c r="C429" s="15" t="s">
        <v>497</v>
      </c>
      <c r="D429" s="47" t="s">
        <v>387</v>
      </c>
      <c r="E429" s="8" t="s">
        <v>603</v>
      </c>
    </row>
    <row r="430" spans="1:5" x14ac:dyDescent="0.25">
      <c r="A430" s="14" t="b">
        <v>1</v>
      </c>
      <c r="B430" s="39" t="b">
        <v>1</v>
      </c>
      <c r="C430" s="15" t="s">
        <v>488</v>
      </c>
      <c r="D430" s="47" t="s">
        <v>356</v>
      </c>
      <c r="E430" s="8"/>
    </row>
    <row r="431" spans="1:5" x14ac:dyDescent="0.25">
      <c r="A431" s="14" t="b">
        <v>0</v>
      </c>
      <c r="B431" s="39" t="b">
        <v>0</v>
      </c>
      <c r="C431" s="15" t="s">
        <v>497</v>
      </c>
      <c r="D431" s="47" t="s">
        <v>309</v>
      </c>
      <c r="E431" s="8" t="s">
        <v>586</v>
      </c>
    </row>
    <row r="432" spans="1:5" x14ac:dyDescent="0.25">
      <c r="A432" s="14" t="b">
        <v>0</v>
      </c>
      <c r="B432" s="39" t="b">
        <v>0</v>
      </c>
      <c r="C432" s="15" t="s">
        <v>497</v>
      </c>
      <c r="D432" s="47" t="s">
        <v>310</v>
      </c>
      <c r="E432" s="8" t="s">
        <v>586</v>
      </c>
    </row>
    <row r="433" spans="1:5" x14ac:dyDescent="0.25">
      <c r="A433" s="14" t="b">
        <v>0</v>
      </c>
      <c r="B433" s="39" t="b">
        <v>0</v>
      </c>
      <c r="C433" s="15" t="s">
        <v>497</v>
      </c>
      <c r="D433" s="47" t="s">
        <v>311</v>
      </c>
      <c r="E433" s="8" t="s">
        <v>586</v>
      </c>
    </row>
    <row r="434" spans="1:5" x14ac:dyDescent="0.25">
      <c r="A434" s="39" t="b">
        <v>1</v>
      </c>
      <c r="B434" s="39" t="b">
        <v>1</v>
      </c>
      <c r="C434" s="15" t="s">
        <v>488</v>
      </c>
      <c r="D434" s="47" t="s">
        <v>388</v>
      </c>
      <c r="E434" s="8"/>
    </row>
    <row r="435" spans="1:5" x14ac:dyDescent="0.25">
      <c r="A435" s="39" t="b">
        <v>1</v>
      </c>
      <c r="B435" s="39" t="b">
        <v>1</v>
      </c>
      <c r="C435" s="15" t="s">
        <v>498</v>
      </c>
      <c r="D435" s="47" t="s">
        <v>389</v>
      </c>
      <c r="E435" s="8" t="s">
        <v>593</v>
      </c>
    </row>
    <row r="436" spans="1:5" x14ac:dyDescent="0.25">
      <c r="A436" s="39" t="b">
        <v>1</v>
      </c>
      <c r="B436" s="39" t="b">
        <v>1</v>
      </c>
      <c r="C436" s="15" t="s">
        <v>488</v>
      </c>
      <c r="D436" s="47" t="s">
        <v>390</v>
      </c>
      <c r="E436" s="8"/>
    </row>
    <row r="437" spans="1:5" x14ac:dyDescent="0.25">
      <c r="A437" s="14" t="b">
        <v>0</v>
      </c>
      <c r="B437" s="39" t="b">
        <v>0</v>
      </c>
      <c r="C437" s="15" t="s">
        <v>497</v>
      </c>
      <c r="D437" s="47" t="s">
        <v>391</v>
      </c>
      <c r="E437" s="8" t="s">
        <v>587</v>
      </c>
    </row>
    <row r="438" spans="1:5" x14ac:dyDescent="0.25">
      <c r="A438" s="14" t="b">
        <v>0</v>
      </c>
      <c r="B438" s="39" t="b">
        <v>0</v>
      </c>
      <c r="C438" s="15" t="s">
        <v>497</v>
      </c>
      <c r="D438" s="47" t="s">
        <v>392</v>
      </c>
      <c r="E438" s="8" t="s">
        <v>587</v>
      </c>
    </row>
    <row r="439" spans="1:5" x14ac:dyDescent="0.25">
      <c r="A439" s="39" t="b">
        <v>1</v>
      </c>
      <c r="B439" s="39" t="b">
        <v>1</v>
      </c>
      <c r="C439" s="15" t="s">
        <v>488</v>
      </c>
      <c r="D439" s="47" t="s">
        <v>393</v>
      </c>
      <c r="E439" s="8"/>
    </row>
    <row r="440" spans="1:5" x14ac:dyDescent="0.25">
      <c r="A440" s="39" t="b">
        <v>1</v>
      </c>
      <c r="B440" s="39" t="b">
        <v>1</v>
      </c>
      <c r="C440" s="15" t="s">
        <v>488</v>
      </c>
      <c r="D440" s="47" t="s">
        <v>394</v>
      </c>
      <c r="E440" s="8"/>
    </row>
    <row r="441" spans="1:5" x14ac:dyDescent="0.25">
      <c r="A441" s="39" t="b">
        <v>1</v>
      </c>
      <c r="B441" s="39" t="b">
        <v>1</v>
      </c>
      <c r="C441" s="15" t="s">
        <v>488</v>
      </c>
      <c r="D441" s="47" t="s">
        <v>395</v>
      </c>
      <c r="E441" s="8"/>
    </row>
    <row r="442" spans="1:5" x14ac:dyDescent="0.25">
      <c r="A442" s="39" t="b">
        <v>1</v>
      </c>
      <c r="B442" s="39" t="b">
        <v>1</v>
      </c>
      <c r="C442" s="15" t="s">
        <v>488</v>
      </c>
      <c r="D442" s="47" t="s">
        <v>396</v>
      </c>
      <c r="E442" s="8" t="s">
        <v>597</v>
      </c>
    </row>
    <row r="443" spans="1:5" x14ac:dyDescent="0.25">
      <c r="A443" s="39" t="b">
        <v>1</v>
      </c>
      <c r="B443" s="39" t="b">
        <v>1</v>
      </c>
      <c r="C443" s="15" t="s">
        <v>488</v>
      </c>
      <c r="D443" s="47" t="s">
        <v>397</v>
      </c>
      <c r="E443" s="8"/>
    </row>
    <row r="444" spans="1:5" x14ac:dyDescent="0.25">
      <c r="A444" s="39" t="b">
        <v>1</v>
      </c>
      <c r="B444" s="39" t="b">
        <v>1</v>
      </c>
      <c r="C444" s="15" t="s">
        <v>488</v>
      </c>
      <c r="D444" s="47" t="s">
        <v>398</v>
      </c>
      <c r="E444" s="8"/>
    </row>
    <row r="445" spans="1:5" x14ac:dyDescent="0.25">
      <c r="A445" s="39" t="b">
        <v>1</v>
      </c>
      <c r="B445" s="39" t="b">
        <v>1</v>
      </c>
      <c r="C445" s="15" t="s">
        <v>488</v>
      </c>
      <c r="D445" s="47" t="s">
        <v>399</v>
      </c>
      <c r="E445" s="8"/>
    </row>
    <row r="446" spans="1:5" x14ac:dyDescent="0.25">
      <c r="A446" s="39" t="b">
        <v>1</v>
      </c>
      <c r="B446" s="39" t="b">
        <v>1</v>
      </c>
      <c r="C446" s="15" t="s">
        <v>488</v>
      </c>
      <c r="D446" s="47" t="s">
        <v>400</v>
      </c>
      <c r="E446" s="8"/>
    </row>
    <row r="447" spans="1:5" x14ac:dyDescent="0.25">
      <c r="A447" s="39" t="b">
        <v>1</v>
      </c>
      <c r="B447" s="39" t="b">
        <v>1</v>
      </c>
      <c r="C447" s="15" t="s">
        <v>488</v>
      </c>
      <c r="D447" s="47" t="s">
        <v>401</v>
      </c>
      <c r="E447" s="8"/>
    </row>
    <row r="448" spans="1:5" x14ac:dyDescent="0.25">
      <c r="A448" s="14" t="b">
        <v>1</v>
      </c>
      <c r="B448" s="39" t="b">
        <v>1</v>
      </c>
      <c r="C448" s="15" t="s">
        <v>498</v>
      </c>
      <c r="D448" s="47" t="s">
        <v>402</v>
      </c>
      <c r="E448" s="8" t="s">
        <v>599</v>
      </c>
    </row>
    <row r="449" spans="1:5" x14ac:dyDescent="0.25">
      <c r="A449" s="39" t="b">
        <v>1</v>
      </c>
      <c r="B449" s="39" t="b">
        <v>1</v>
      </c>
      <c r="C449" s="15" t="s">
        <v>498</v>
      </c>
      <c r="D449" s="47" t="s">
        <v>403</v>
      </c>
      <c r="E449" s="8" t="s">
        <v>596</v>
      </c>
    </row>
    <row r="450" spans="1:5" x14ac:dyDescent="0.25">
      <c r="A450" s="14" t="b">
        <v>0</v>
      </c>
      <c r="B450" s="39" t="b">
        <v>0</v>
      </c>
      <c r="C450" s="15" t="s">
        <v>497</v>
      </c>
      <c r="D450" s="47" t="s">
        <v>404</v>
      </c>
      <c r="E450" s="8" t="s">
        <v>588</v>
      </c>
    </row>
    <row r="451" spans="1:5" x14ac:dyDescent="0.25">
      <c r="A451" s="14" t="b">
        <v>0</v>
      </c>
      <c r="B451" s="39" t="b">
        <v>0</v>
      </c>
      <c r="C451" s="15" t="s">
        <v>497</v>
      </c>
      <c r="D451" s="47" t="s">
        <v>405</v>
      </c>
      <c r="E451" s="8" t="s">
        <v>588</v>
      </c>
    </row>
    <row r="452" spans="1:5" x14ac:dyDescent="0.25">
      <c r="A452" s="14" t="b">
        <v>0</v>
      </c>
      <c r="B452" s="39" t="b">
        <v>0</v>
      </c>
      <c r="C452" s="15" t="s">
        <v>497</v>
      </c>
      <c r="D452" s="47" t="s">
        <v>406</v>
      </c>
      <c r="E452" s="8" t="s">
        <v>589</v>
      </c>
    </row>
    <row r="453" spans="1:5" x14ac:dyDescent="0.25">
      <c r="A453" s="14" t="b">
        <v>1</v>
      </c>
      <c r="B453" s="39" t="b">
        <v>1</v>
      </c>
      <c r="C453" s="15" t="s">
        <v>488</v>
      </c>
      <c r="D453" s="47" t="s">
        <v>407</v>
      </c>
      <c r="E453" s="8"/>
    </row>
    <row r="454" spans="1:5" x14ac:dyDescent="0.25">
      <c r="A454" s="39" t="b">
        <v>1</v>
      </c>
      <c r="B454" s="39" t="b">
        <v>1</v>
      </c>
      <c r="C454" s="15" t="s">
        <v>498</v>
      </c>
      <c r="D454" s="47" t="s">
        <v>408</v>
      </c>
      <c r="E454" s="8" t="s">
        <v>594</v>
      </c>
    </row>
    <row r="455" spans="1:5" x14ac:dyDescent="0.25">
      <c r="A455" s="14" t="b">
        <v>0</v>
      </c>
      <c r="B455" s="39" t="b">
        <v>0</v>
      </c>
      <c r="C455" s="15" t="s">
        <v>497</v>
      </c>
      <c r="D455" s="47" t="s">
        <v>409</v>
      </c>
      <c r="E455" s="8" t="s">
        <v>590</v>
      </c>
    </row>
    <row r="456" spans="1:5" x14ac:dyDescent="0.25">
      <c r="A456" s="14" t="b">
        <v>0</v>
      </c>
      <c r="B456" s="39" t="b">
        <v>0</v>
      </c>
      <c r="C456" s="15" t="s">
        <v>497</v>
      </c>
      <c r="D456" s="47" t="s">
        <v>410</v>
      </c>
      <c r="E456" s="8" t="s">
        <v>592</v>
      </c>
    </row>
    <row r="457" spans="1:5" x14ac:dyDescent="0.25">
      <c r="A457" s="14" t="b">
        <v>0</v>
      </c>
      <c r="B457" s="39" t="b">
        <v>0</v>
      </c>
      <c r="C457" s="15" t="s">
        <v>497</v>
      </c>
      <c r="D457" s="47" t="s">
        <v>411</v>
      </c>
      <c r="E457" s="8" t="s">
        <v>592</v>
      </c>
    </row>
    <row r="458" spans="1:5" x14ac:dyDescent="0.25">
      <c r="A458" s="39" t="b">
        <v>1</v>
      </c>
      <c r="B458" s="39" t="b">
        <v>1</v>
      </c>
      <c r="C458" s="15" t="s">
        <v>498</v>
      </c>
      <c r="D458" s="47" t="s">
        <v>412</v>
      </c>
      <c r="E458" s="8" t="s">
        <v>595</v>
      </c>
    </row>
    <row r="459" spans="1:5" x14ac:dyDescent="0.25">
      <c r="A459" s="14" t="b">
        <v>0</v>
      </c>
      <c r="B459" s="39" t="b">
        <v>0</v>
      </c>
      <c r="C459" s="15" t="s">
        <v>497</v>
      </c>
      <c r="D459" s="47" t="s">
        <v>413</v>
      </c>
      <c r="E459" s="8" t="s">
        <v>591</v>
      </c>
    </row>
    <row r="460" spans="1:5" x14ac:dyDescent="0.25">
      <c r="A460" s="14" t="b">
        <v>0</v>
      </c>
      <c r="B460" s="39" t="b">
        <v>0</v>
      </c>
      <c r="C460" s="15" t="s">
        <v>497</v>
      </c>
      <c r="D460" s="47" t="s">
        <v>414</v>
      </c>
      <c r="E460" s="8" t="s">
        <v>591</v>
      </c>
    </row>
    <row r="461" spans="1:5" x14ac:dyDescent="0.25">
      <c r="A461" s="14" t="b">
        <v>0</v>
      </c>
      <c r="B461" s="39" t="b">
        <v>0</v>
      </c>
      <c r="C461" s="15" t="s">
        <v>497</v>
      </c>
      <c r="D461" s="47" t="s">
        <v>415</v>
      </c>
      <c r="E461" s="8" t="s">
        <v>572</v>
      </c>
    </row>
    <row r="462" spans="1:5" ht="15.75" thickBot="1" x14ac:dyDescent="0.3">
      <c r="A462" s="16" t="b">
        <v>0</v>
      </c>
      <c r="B462" s="17" t="b">
        <v>0</v>
      </c>
      <c r="C462" s="18" t="s">
        <v>497</v>
      </c>
      <c r="D462" s="48" t="s">
        <v>360</v>
      </c>
      <c r="E462" s="7" t="s">
        <v>572</v>
      </c>
    </row>
    <row r="463" spans="1:5" ht="15.75" thickBot="1" x14ac:dyDescent="0.3">
      <c r="A463" s="40"/>
      <c r="B463" s="40"/>
      <c r="C463" s="40"/>
      <c r="D463" s="45" t="s">
        <v>416</v>
      </c>
    </row>
    <row r="464" spans="1:5" x14ac:dyDescent="0.25">
      <c r="A464" s="11" t="b">
        <v>0</v>
      </c>
      <c r="B464" s="12" t="b">
        <v>0</v>
      </c>
      <c r="C464" s="13" t="s">
        <v>497</v>
      </c>
      <c r="D464" s="46" t="s">
        <v>417</v>
      </c>
      <c r="E464" s="26" t="s">
        <v>567</v>
      </c>
    </row>
    <row r="465" spans="1:5" x14ac:dyDescent="0.25">
      <c r="A465" s="14" t="b">
        <v>0</v>
      </c>
      <c r="B465" s="39" t="b">
        <v>0</v>
      </c>
      <c r="C465" s="15" t="s">
        <v>497</v>
      </c>
      <c r="D465" s="47" t="s">
        <v>418</v>
      </c>
      <c r="E465" s="27" t="s">
        <v>567</v>
      </c>
    </row>
    <row r="466" spans="1:5" x14ac:dyDescent="0.25">
      <c r="A466" s="14" t="b">
        <v>0</v>
      </c>
      <c r="B466" s="39" t="b">
        <v>0</v>
      </c>
      <c r="C466" s="15" t="s">
        <v>497</v>
      </c>
      <c r="D466" s="47" t="s">
        <v>419</v>
      </c>
      <c r="E466" s="27" t="s">
        <v>567</v>
      </c>
    </row>
    <row r="467" spans="1:5" ht="15.75" thickBot="1" x14ac:dyDescent="0.3">
      <c r="A467" s="16" t="b">
        <v>0</v>
      </c>
      <c r="B467" s="17" t="b">
        <v>0</v>
      </c>
      <c r="C467" s="18" t="s">
        <v>497</v>
      </c>
      <c r="D467" s="48" t="s">
        <v>420</v>
      </c>
      <c r="E467" s="28" t="s">
        <v>567</v>
      </c>
    </row>
    <row r="468" spans="1:5" ht="15.75" thickBot="1" x14ac:dyDescent="0.3">
      <c r="A468" s="40"/>
      <c r="B468" s="40"/>
      <c r="C468" s="40"/>
      <c r="D468" s="45" t="s">
        <v>421</v>
      </c>
    </row>
    <row r="469" spans="1:5" x14ac:dyDescent="0.25">
      <c r="A469" s="11" t="b">
        <v>0</v>
      </c>
      <c r="B469" s="12" t="b">
        <v>0</v>
      </c>
      <c r="C469" s="13" t="s">
        <v>497</v>
      </c>
      <c r="D469" s="46" t="s">
        <v>422</v>
      </c>
      <c r="E469" s="26" t="s">
        <v>568</v>
      </c>
    </row>
    <row r="470" spans="1:5" x14ac:dyDescent="0.25">
      <c r="A470" s="14" t="b">
        <v>0</v>
      </c>
      <c r="B470" s="39" t="b">
        <v>0</v>
      </c>
      <c r="C470" s="15" t="s">
        <v>497</v>
      </c>
      <c r="D470" s="47" t="s">
        <v>423</v>
      </c>
      <c r="E470" s="27" t="s">
        <v>568</v>
      </c>
    </row>
    <row r="471" spans="1:5" x14ac:dyDescent="0.25">
      <c r="A471" s="14" t="b">
        <v>0</v>
      </c>
      <c r="B471" s="39" t="b">
        <v>0</v>
      </c>
      <c r="C471" s="15" t="s">
        <v>497</v>
      </c>
      <c r="D471" s="47" t="s">
        <v>424</v>
      </c>
      <c r="E471" s="27" t="s">
        <v>568</v>
      </c>
    </row>
    <row r="472" spans="1:5" x14ac:dyDescent="0.25">
      <c r="A472" s="14" t="b">
        <v>0</v>
      </c>
      <c r="B472" s="39" t="b">
        <v>0</v>
      </c>
      <c r="C472" s="15" t="s">
        <v>497</v>
      </c>
      <c r="D472" s="47" t="s">
        <v>425</v>
      </c>
      <c r="E472" s="27" t="s">
        <v>568</v>
      </c>
    </row>
    <row r="473" spans="1:5" x14ac:dyDescent="0.25">
      <c r="A473" s="14" t="b">
        <v>0</v>
      </c>
      <c r="B473" s="39" t="b">
        <v>0</v>
      </c>
      <c r="C473" s="15" t="s">
        <v>497</v>
      </c>
      <c r="D473" s="47" t="s">
        <v>426</v>
      </c>
      <c r="E473" s="27" t="s">
        <v>568</v>
      </c>
    </row>
    <row r="474" spans="1:5" x14ac:dyDescent="0.25">
      <c r="A474" s="14" t="b">
        <v>0</v>
      </c>
      <c r="B474" s="39" t="b">
        <v>0</v>
      </c>
      <c r="C474" s="15" t="s">
        <v>497</v>
      </c>
      <c r="D474" s="47" t="s">
        <v>427</v>
      </c>
      <c r="E474" s="27" t="s">
        <v>568</v>
      </c>
    </row>
    <row r="475" spans="1:5" x14ac:dyDescent="0.25">
      <c r="A475" s="14" t="b">
        <v>0</v>
      </c>
      <c r="B475" s="39" t="b">
        <v>0</v>
      </c>
      <c r="C475" s="15" t="s">
        <v>497</v>
      </c>
      <c r="D475" s="47" t="s">
        <v>428</v>
      </c>
      <c r="E475" s="27" t="s">
        <v>568</v>
      </c>
    </row>
    <row r="476" spans="1:5" ht="15.75" thickBot="1" x14ac:dyDescent="0.3">
      <c r="A476" s="16" t="b">
        <v>0</v>
      </c>
      <c r="B476" s="17" t="b">
        <v>0</v>
      </c>
      <c r="C476" s="18" t="s">
        <v>497</v>
      </c>
      <c r="D476" s="48" t="s">
        <v>429</v>
      </c>
      <c r="E476" s="28" t="s">
        <v>568</v>
      </c>
    </row>
    <row r="477" spans="1:5" ht="15.75" thickBot="1" x14ac:dyDescent="0.3">
      <c r="A477" s="40"/>
      <c r="B477" s="40"/>
      <c r="C477" s="40"/>
      <c r="D477" s="45" t="s">
        <v>430</v>
      </c>
    </row>
    <row r="478" spans="1:5" x14ac:dyDescent="0.25">
      <c r="A478" s="11" t="b">
        <v>0</v>
      </c>
      <c r="B478" s="12" t="b">
        <v>0</v>
      </c>
      <c r="C478" s="13" t="s">
        <v>497</v>
      </c>
      <c r="D478" s="46" t="s">
        <v>431</v>
      </c>
      <c r="E478" s="26" t="s">
        <v>623</v>
      </c>
    </row>
    <row r="479" spans="1:5" x14ac:dyDescent="0.25">
      <c r="A479" s="14" t="b">
        <v>0</v>
      </c>
      <c r="B479" s="39" t="b">
        <v>0</v>
      </c>
      <c r="C479" s="15" t="s">
        <v>497</v>
      </c>
      <c r="D479" s="47" t="s">
        <v>432</v>
      </c>
      <c r="E479" s="27" t="s">
        <v>623</v>
      </c>
    </row>
    <row r="480" spans="1:5" x14ac:dyDescent="0.25">
      <c r="A480" s="14" t="b">
        <v>1</v>
      </c>
      <c r="B480" s="39" t="b">
        <v>1</v>
      </c>
      <c r="C480" s="15" t="s">
        <v>488</v>
      </c>
      <c r="D480" s="47" t="s">
        <v>433</v>
      </c>
      <c r="E480" s="27"/>
    </row>
    <row r="481" spans="1:5" x14ac:dyDescent="0.25">
      <c r="A481" s="14" t="b">
        <v>1</v>
      </c>
      <c r="B481" s="39" t="b">
        <v>1</v>
      </c>
      <c r="C481" s="15" t="s">
        <v>488</v>
      </c>
      <c r="D481" s="47" t="s">
        <v>434</v>
      </c>
      <c r="E481" s="27"/>
    </row>
    <row r="482" spans="1:5" x14ac:dyDescent="0.25">
      <c r="A482" s="14" t="b">
        <v>0</v>
      </c>
      <c r="B482" s="39" t="b">
        <v>0</v>
      </c>
      <c r="C482" s="15" t="s">
        <v>497</v>
      </c>
      <c r="D482" s="47" t="s">
        <v>435</v>
      </c>
      <c r="E482" s="27" t="s">
        <v>617</v>
      </c>
    </row>
    <row r="483" spans="1:5" x14ac:dyDescent="0.25">
      <c r="A483" s="39" t="b">
        <v>1</v>
      </c>
      <c r="B483" s="39" t="b">
        <v>1</v>
      </c>
      <c r="C483" s="15" t="s">
        <v>498</v>
      </c>
      <c r="D483" s="47" t="s">
        <v>436</v>
      </c>
      <c r="E483" s="27" t="s">
        <v>618</v>
      </c>
    </row>
    <row r="484" spans="1:5" x14ac:dyDescent="0.25">
      <c r="A484" s="39" t="b">
        <v>1</v>
      </c>
      <c r="B484" s="39" t="b">
        <v>1</v>
      </c>
      <c r="C484" s="15" t="s">
        <v>498</v>
      </c>
      <c r="D484" s="47" t="s">
        <v>437</v>
      </c>
      <c r="E484" s="27" t="s">
        <v>619</v>
      </c>
    </row>
    <row r="485" spans="1:5" x14ac:dyDescent="0.25">
      <c r="A485" s="39" t="b">
        <v>0</v>
      </c>
      <c r="B485" s="39" t="b">
        <v>0</v>
      </c>
      <c r="C485" s="15" t="s">
        <v>497</v>
      </c>
      <c r="D485" s="47" t="s">
        <v>438</v>
      </c>
      <c r="E485" s="27" t="s">
        <v>622</v>
      </c>
    </row>
    <row r="486" spans="1:5" x14ac:dyDescent="0.25">
      <c r="A486" s="39" t="b">
        <v>0</v>
      </c>
      <c r="B486" s="39" t="b">
        <v>0</v>
      </c>
      <c r="C486" s="15" t="s">
        <v>497</v>
      </c>
      <c r="D486" s="47" t="s">
        <v>439</v>
      </c>
      <c r="E486" s="27" t="s">
        <v>622</v>
      </c>
    </row>
    <row r="487" spans="1:5" x14ac:dyDescent="0.25">
      <c r="A487" s="14" t="b">
        <v>0</v>
      </c>
      <c r="B487" s="39" t="b">
        <v>0</v>
      </c>
      <c r="C487" s="15" t="s">
        <v>497</v>
      </c>
      <c r="D487" s="47" t="s">
        <v>440</v>
      </c>
      <c r="E487" s="27" t="s">
        <v>604</v>
      </c>
    </row>
    <row r="488" spans="1:5" x14ac:dyDescent="0.25">
      <c r="A488" s="39" t="b">
        <v>1</v>
      </c>
      <c r="B488" s="39" t="b">
        <v>1</v>
      </c>
      <c r="C488" s="15" t="s">
        <v>498</v>
      </c>
      <c r="D488" s="47" t="s">
        <v>441</v>
      </c>
      <c r="E488" s="27" t="s">
        <v>621</v>
      </c>
    </row>
    <row r="489" spans="1:5" x14ac:dyDescent="0.25">
      <c r="A489" s="39" t="b">
        <v>1</v>
      </c>
      <c r="B489" s="39" t="b">
        <v>1</v>
      </c>
      <c r="C489" s="15" t="s">
        <v>498</v>
      </c>
      <c r="D489" s="47" t="s">
        <v>442</v>
      </c>
      <c r="E489" s="27" t="s">
        <v>620</v>
      </c>
    </row>
    <row r="490" spans="1:5" x14ac:dyDescent="0.25">
      <c r="A490" s="14" t="b">
        <v>0</v>
      </c>
      <c r="B490" s="39" t="b">
        <v>0</v>
      </c>
      <c r="C490" s="15" t="s">
        <v>497</v>
      </c>
      <c r="D490" s="47" t="s">
        <v>443</v>
      </c>
      <c r="E490" s="27" t="s">
        <v>605</v>
      </c>
    </row>
    <row r="491" spans="1:5" x14ac:dyDescent="0.25">
      <c r="A491" s="14" t="b">
        <v>0</v>
      </c>
      <c r="B491" s="39" t="b">
        <v>0</v>
      </c>
      <c r="C491" s="15" t="s">
        <v>497</v>
      </c>
      <c r="D491" s="47" t="s">
        <v>444</v>
      </c>
      <c r="E491" s="27" t="s">
        <v>605</v>
      </c>
    </row>
    <row r="492" spans="1:5" x14ac:dyDescent="0.25">
      <c r="A492" s="39" t="b">
        <v>1</v>
      </c>
      <c r="B492" s="39" t="b">
        <v>1</v>
      </c>
      <c r="C492" s="15" t="s">
        <v>498</v>
      </c>
      <c r="D492" s="47" t="s">
        <v>445</v>
      </c>
      <c r="E492" s="27" t="s">
        <v>621</v>
      </c>
    </row>
    <row r="493" spans="1:5" x14ac:dyDescent="0.25">
      <c r="A493" s="39" t="b">
        <v>1</v>
      </c>
      <c r="B493" s="39" t="b">
        <v>1</v>
      </c>
      <c r="C493" s="15" t="s">
        <v>498</v>
      </c>
      <c r="D493" s="47" t="s">
        <v>446</v>
      </c>
      <c r="E493" s="27" t="s">
        <v>620</v>
      </c>
    </row>
    <row r="494" spans="1:5" x14ac:dyDescent="0.25">
      <c r="A494" s="39" t="b">
        <v>1</v>
      </c>
      <c r="B494" s="39" t="b">
        <v>1</v>
      </c>
      <c r="C494" s="15" t="s">
        <v>488</v>
      </c>
      <c r="D494" s="47" t="s">
        <v>447</v>
      </c>
      <c r="E494" s="27"/>
    </row>
    <row r="495" spans="1:5" x14ac:dyDescent="0.25">
      <c r="A495" s="39" t="b">
        <v>1</v>
      </c>
      <c r="B495" s="39" t="b">
        <v>1</v>
      </c>
      <c r="C495" s="15" t="s">
        <v>498</v>
      </c>
      <c r="D495" s="47" t="s">
        <v>448</v>
      </c>
      <c r="E495" s="27" t="s">
        <v>621</v>
      </c>
    </row>
    <row r="496" spans="1:5" x14ac:dyDescent="0.25">
      <c r="A496" s="39" t="b">
        <v>1</v>
      </c>
      <c r="B496" s="39" t="b">
        <v>1</v>
      </c>
      <c r="C496" s="15" t="s">
        <v>498</v>
      </c>
      <c r="D496" s="47" t="s">
        <v>449</v>
      </c>
      <c r="E496" s="27" t="s">
        <v>620</v>
      </c>
    </row>
    <row r="497" spans="1:5" x14ac:dyDescent="0.25">
      <c r="A497" s="14" t="b">
        <v>0</v>
      </c>
      <c r="B497" s="39" t="b">
        <v>0</v>
      </c>
      <c r="C497" s="15" t="s">
        <v>497</v>
      </c>
      <c r="D497" s="47" t="s">
        <v>450</v>
      </c>
      <c r="E497" s="27" t="s">
        <v>606</v>
      </c>
    </row>
    <row r="498" spans="1:5" x14ac:dyDescent="0.25">
      <c r="A498" s="39" t="b">
        <v>1</v>
      </c>
      <c r="B498" s="39" t="b">
        <v>1</v>
      </c>
      <c r="C498" s="15" t="s">
        <v>498</v>
      </c>
      <c r="D498" s="47" t="s">
        <v>451</v>
      </c>
      <c r="E498" s="27" t="s">
        <v>609</v>
      </c>
    </row>
    <row r="499" spans="1:5" x14ac:dyDescent="0.25">
      <c r="A499" s="14" t="b">
        <v>0</v>
      </c>
      <c r="B499" s="39" t="b">
        <v>0</v>
      </c>
      <c r="C499" s="15" t="s">
        <v>497</v>
      </c>
      <c r="D499" s="47" t="s">
        <v>452</v>
      </c>
      <c r="E499" s="27" t="s">
        <v>607</v>
      </c>
    </row>
    <row r="500" spans="1:5" x14ac:dyDescent="0.25">
      <c r="A500" s="14" t="b">
        <v>0</v>
      </c>
      <c r="B500" s="39" t="b">
        <v>0</v>
      </c>
      <c r="C500" s="15" t="s">
        <v>497</v>
      </c>
      <c r="D500" s="47" t="s">
        <v>453</v>
      </c>
      <c r="E500" s="27" t="s">
        <v>607</v>
      </c>
    </row>
    <row r="501" spans="1:5" x14ac:dyDescent="0.25">
      <c r="A501" s="14" t="b">
        <v>0</v>
      </c>
      <c r="B501" s="39" t="b">
        <v>0</v>
      </c>
      <c r="C501" s="15" t="s">
        <v>497</v>
      </c>
      <c r="D501" s="47" t="s">
        <v>454</v>
      </c>
      <c r="E501" s="27" t="s">
        <v>608</v>
      </c>
    </row>
    <row r="502" spans="1:5" x14ac:dyDescent="0.25">
      <c r="A502" s="14" t="b">
        <v>0</v>
      </c>
      <c r="B502" s="39" t="b">
        <v>0</v>
      </c>
      <c r="C502" s="15" t="s">
        <v>497</v>
      </c>
      <c r="D502" s="47" t="s">
        <v>455</v>
      </c>
      <c r="E502" s="27" t="s">
        <v>476</v>
      </c>
    </row>
    <row r="503" spans="1:5" x14ac:dyDescent="0.25">
      <c r="A503" s="14" t="b">
        <v>0</v>
      </c>
      <c r="B503" s="39" t="b">
        <v>0</v>
      </c>
      <c r="C503" s="15" t="s">
        <v>497</v>
      </c>
      <c r="D503" s="47" t="s">
        <v>456</v>
      </c>
      <c r="E503" s="27" t="s">
        <v>476</v>
      </c>
    </row>
    <row r="504" spans="1:5" x14ac:dyDescent="0.25">
      <c r="A504" s="14" t="b">
        <v>0</v>
      </c>
      <c r="B504" s="39" t="b">
        <v>0</v>
      </c>
      <c r="C504" s="15" t="s">
        <v>497</v>
      </c>
      <c r="D504" s="47" t="s">
        <v>410</v>
      </c>
      <c r="E504" s="8" t="s">
        <v>592</v>
      </c>
    </row>
    <row r="505" spans="1:5" ht="15.75" thickBot="1" x14ac:dyDescent="0.3">
      <c r="A505" s="16" t="b">
        <v>0</v>
      </c>
      <c r="B505" s="17" t="b">
        <v>0</v>
      </c>
      <c r="C505" s="18" t="s">
        <v>497</v>
      </c>
      <c r="D505" s="48" t="s">
        <v>411</v>
      </c>
      <c r="E505" s="28" t="s">
        <v>592</v>
      </c>
    </row>
    <row r="506" spans="1:5" ht="15.75" thickBot="1" x14ac:dyDescent="0.3">
      <c r="A506" s="40"/>
      <c r="B506" s="40"/>
      <c r="C506" s="40"/>
      <c r="D506" s="45" t="s">
        <v>457</v>
      </c>
    </row>
    <row r="507" spans="1:5" x14ac:dyDescent="0.25">
      <c r="A507" s="11" t="b">
        <v>1</v>
      </c>
      <c r="B507" s="12" t="b">
        <v>1</v>
      </c>
      <c r="C507" s="13" t="s">
        <v>488</v>
      </c>
      <c r="D507" s="46" t="s">
        <v>346</v>
      </c>
      <c r="E507" s="26"/>
    </row>
    <row r="508" spans="1:5" x14ac:dyDescent="0.25">
      <c r="A508" s="14" t="b">
        <v>1</v>
      </c>
      <c r="B508" s="39" t="b">
        <v>1</v>
      </c>
      <c r="C508" s="15" t="s">
        <v>488</v>
      </c>
      <c r="D508" s="47" t="s">
        <v>347</v>
      </c>
      <c r="E508" s="27"/>
    </row>
    <row r="509" spans="1:5" x14ac:dyDescent="0.25">
      <c r="A509" s="14" t="b">
        <v>1</v>
      </c>
      <c r="B509" s="39" t="b">
        <v>1</v>
      </c>
      <c r="C509" s="15" t="s">
        <v>488</v>
      </c>
      <c r="D509" s="47" t="s">
        <v>348</v>
      </c>
      <c r="E509" s="27"/>
    </row>
    <row r="510" spans="1:5" x14ac:dyDescent="0.25">
      <c r="A510" s="14" t="b">
        <v>1</v>
      </c>
      <c r="B510" s="39" t="b">
        <v>1</v>
      </c>
      <c r="C510" s="15" t="s">
        <v>488</v>
      </c>
      <c r="D510" s="47" t="s">
        <v>349</v>
      </c>
      <c r="E510" s="27"/>
    </row>
    <row r="511" spans="1:5" x14ac:dyDescent="0.25">
      <c r="A511" s="14" t="b">
        <v>0</v>
      </c>
      <c r="B511" s="39" t="b">
        <v>0</v>
      </c>
      <c r="C511" s="15" t="s">
        <v>497</v>
      </c>
      <c r="D511" s="47" t="s">
        <v>354</v>
      </c>
      <c r="E511" s="27" t="s">
        <v>524</v>
      </c>
    </row>
    <row r="512" spans="1:5" x14ac:dyDescent="0.25">
      <c r="A512" s="14" t="b">
        <v>1</v>
      </c>
      <c r="B512" s="39" t="b">
        <v>1</v>
      </c>
      <c r="C512" s="15" t="s">
        <v>498</v>
      </c>
      <c r="D512" s="47" t="s">
        <v>355</v>
      </c>
      <c r="E512" s="27" t="s">
        <v>524</v>
      </c>
    </row>
    <row r="513" spans="1:5" x14ac:dyDescent="0.25">
      <c r="A513" s="14" t="b">
        <v>1</v>
      </c>
      <c r="B513" s="39" t="b">
        <v>1</v>
      </c>
      <c r="C513" s="15" t="s">
        <v>488</v>
      </c>
      <c r="D513" s="47" t="s">
        <v>357</v>
      </c>
      <c r="E513" s="27"/>
    </row>
    <row r="514" spans="1:5" x14ac:dyDescent="0.25">
      <c r="A514" s="14" t="b">
        <v>1</v>
      </c>
      <c r="B514" s="39" t="b">
        <v>1</v>
      </c>
      <c r="C514" s="15" t="s">
        <v>488</v>
      </c>
      <c r="D514" s="47" t="s">
        <v>358</v>
      </c>
      <c r="E514" s="27"/>
    </row>
    <row r="515" spans="1:5" x14ac:dyDescent="0.25">
      <c r="A515" s="14" t="b">
        <v>1</v>
      </c>
      <c r="B515" s="39" t="b">
        <v>1</v>
      </c>
      <c r="C515" s="15" t="s">
        <v>488</v>
      </c>
      <c r="D515" s="47" t="s">
        <v>458</v>
      </c>
      <c r="E515" s="27"/>
    </row>
    <row r="516" spans="1:5" x14ac:dyDescent="0.25">
      <c r="A516" s="14" t="b">
        <v>1</v>
      </c>
      <c r="B516" s="39" t="b">
        <v>1</v>
      </c>
      <c r="C516" s="15" t="s">
        <v>488</v>
      </c>
      <c r="D516" s="47" t="s">
        <v>459</v>
      </c>
      <c r="E516" s="27"/>
    </row>
    <row r="517" spans="1:5" x14ac:dyDescent="0.25">
      <c r="A517" s="14" t="b">
        <v>1</v>
      </c>
      <c r="B517" s="39" t="b">
        <v>1</v>
      </c>
      <c r="C517" s="15" t="s">
        <v>488</v>
      </c>
      <c r="D517" s="47" t="s">
        <v>460</v>
      </c>
      <c r="E517" s="27"/>
    </row>
    <row r="518" spans="1:5" x14ac:dyDescent="0.25">
      <c r="A518" s="14" t="b">
        <v>1</v>
      </c>
      <c r="B518" s="39" t="b">
        <v>1</v>
      </c>
      <c r="C518" s="15" t="s">
        <v>488</v>
      </c>
      <c r="D518" s="47" t="s">
        <v>461</v>
      </c>
      <c r="E518" s="27"/>
    </row>
    <row r="519" spans="1:5" x14ac:dyDescent="0.25">
      <c r="A519" s="14" t="b">
        <v>1</v>
      </c>
      <c r="B519" s="39" t="b">
        <v>1</v>
      </c>
      <c r="C519" s="15" t="s">
        <v>488</v>
      </c>
      <c r="D519" s="47" t="s">
        <v>462</v>
      </c>
      <c r="E519" s="27"/>
    </row>
    <row r="520" spans="1:5" x14ac:dyDescent="0.25">
      <c r="A520" s="14" t="b">
        <v>1</v>
      </c>
      <c r="B520" s="39" t="b">
        <v>1</v>
      </c>
      <c r="C520" s="15" t="s">
        <v>488</v>
      </c>
      <c r="D520" s="47" t="s">
        <v>463</v>
      </c>
      <c r="E520" s="27"/>
    </row>
    <row r="521" spans="1:5" x14ac:dyDescent="0.25">
      <c r="A521" s="14" t="b">
        <v>1</v>
      </c>
      <c r="B521" s="39" t="b">
        <v>1</v>
      </c>
      <c r="C521" s="15" t="s">
        <v>488</v>
      </c>
      <c r="D521" s="47" t="s">
        <v>464</v>
      </c>
      <c r="E521" s="27"/>
    </row>
    <row r="522" spans="1:5" x14ac:dyDescent="0.25">
      <c r="A522" s="14" t="b">
        <v>1</v>
      </c>
      <c r="B522" s="39" t="b">
        <v>1</v>
      </c>
      <c r="C522" s="15" t="s">
        <v>488</v>
      </c>
      <c r="D522" s="47" t="s">
        <v>465</v>
      </c>
      <c r="E522" s="27"/>
    </row>
    <row r="523" spans="1:5" x14ac:dyDescent="0.25">
      <c r="A523" s="14" t="b">
        <v>1</v>
      </c>
      <c r="B523" s="39" t="b">
        <v>1</v>
      </c>
      <c r="C523" s="15" t="s">
        <v>488</v>
      </c>
      <c r="D523" s="47" t="s">
        <v>466</v>
      </c>
      <c r="E523" s="27"/>
    </row>
    <row r="524" spans="1:5" ht="15.75" thickBot="1" x14ac:dyDescent="0.3">
      <c r="A524" s="16" t="b">
        <v>1</v>
      </c>
      <c r="B524" s="17" t="b">
        <v>1</v>
      </c>
      <c r="C524" s="18" t="s">
        <v>488</v>
      </c>
      <c r="D524" s="48" t="s">
        <v>359</v>
      </c>
      <c r="E524" s="28"/>
    </row>
  </sheetData>
  <mergeCells count="5">
    <mergeCell ref="D2:E2"/>
    <mergeCell ref="D13:E13"/>
    <mergeCell ref="D23:E23"/>
    <mergeCell ref="D26:E26"/>
    <mergeCell ref="A2:C2"/>
  </mergeCells>
  <phoneticPr fontId="2" type="noConversion"/>
  <conditionalFormatting sqref="A3:B12 A14:B22 A24:B25 A27:B59 A61:B88 A90:B121 A123:B136 A138:B177 A179:B199 A201:B202 A204:B223 A225:B225 A227:B234 A236:B257 A259:B259 A261:B272 A274:B278 A280:B299 A301:B310 A312:B315 A317:B318 A320:B326 A328:B345 A347:B358 A360:B367 A369:B379 A381:B401 A403:B406 A408:B462 A464:B467 A469:B476 A478:B505 A507:B524">
    <cfRule type="cellIs" dxfId="63" priority="12" operator="equal">
      <formula>TRUE</formula>
    </cfRule>
    <cfRule type="cellIs" dxfId="62" priority="14" operator="equal">
      <formula>FALSE</formula>
    </cfRule>
  </conditionalFormatting>
  <conditionalFormatting sqref="C3:C88 C90:C121 C123:C136 C138:C177 C179:C199 C201:C202 C204:C223 C225 C227:C234 C236:C257 C259 C261:C272 C274:C278 C280:C299 C301:C310 C312:C315 C317:C318 C320:C326 C328:C345 C360:C367 C369:C379 C403:C406 C408:C462 C464:C467 C469:C476 C478:C505 C507:C524 C381:C401 C347:C358">
    <cfRule type="containsText" dxfId="61" priority="1" operator="containsText" text="Not Started">
      <formula>NOT(ISERROR(SEARCH("Not Started",C3)))</formula>
    </cfRule>
    <cfRule type="containsText" dxfId="60" priority="15" operator="containsText" text="Not Supported">
      <formula>NOT(ISERROR(SEARCH("Not Supported",C3)))</formula>
    </cfRule>
    <cfRule type="containsText" dxfId="59" priority="16" operator="containsText" text="Partial Support">
      <formula>NOT(ISERROR(SEARCH("Partial Support",C3)))</formula>
    </cfRule>
    <cfRule type="containsText" dxfId="58" priority="17" operator="containsText" text="Supported">
      <formula>NOT(ISERROR(SEARCH("Supported",C3)))</formula>
    </cfRule>
    <cfRule type="containsText" dxfId="57" priority="18" operator="containsText" text="Working">
      <formula>NOT(ISERROR(SEARCH("Working",C3)))</formula>
    </cfRule>
  </conditionalFormatting>
  <conditionalFormatting sqref="D3:D524">
    <cfRule type="expression" dxfId="56" priority="2">
      <formula xml:space="preserve"> AND($C3 = "Not Started", MOD(ROW(),2) = 1)</formula>
    </cfRule>
    <cfRule type="expression" dxfId="55" priority="3">
      <formula xml:space="preserve"> AND($C3 = "Not Started", MOD(ROW(),2) = 0)</formula>
    </cfRule>
    <cfRule type="expression" dxfId="54" priority="4">
      <formula xml:space="preserve"> AND($C3 = "Working", MOD(ROW(),2) = 0)</formula>
    </cfRule>
    <cfRule type="expression" dxfId="53" priority="5">
      <formula xml:space="preserve"> AND($C3 = "Supported", MOD(ROW(),2) = 0)</formula>
    </cfRule>
    <cfRule type="expression" dxfId="52" priority="6">
      <formula xml:space="preserve"> AND($C3 = "Partial Support", MOD(ROW(),2) = 0)</formula>
    </cfRule>
    <cfRule type="expression" dxfId="51" priority="7">
      <formula xml:space="preserve"> AND($C3 = "Not Supported", MOD(ROW(),2) = 0)</formula>
    </cfRule>
    <cfRule type="expression" dxfId="50" priority="8">
      <formula xml:space="preserve"> AND($C3 = "Not Supported", MOD(ROW(),2)=1)</formula>
    </cfRule>
    <cfRule type="expression" dxfId="49" priority="9">
      <formula xml:space="preserve"> AND($C3 = "Partial Support", MOD(ROW(),2) = 1)</formula>
    </cfRule>
    <cfRule type="expression" dxfId="48" priority="10">
      <formula xml:space="preserve"> AND($C3 = "Supported", MOD(ROW(),2) = 1)</formula>
    </cfRule>
    <cfRule type="expression" dxfId="47" priority="11">
      <formula xml:space="preserve"> AND($C3 = "Working", MOD(ROW(),2) = 1)</formula>
    </cfRule>
  </conditionalFormatting>
  <dataValidations count="1">
    <dataValidation type="list" allowBlank="1" showInputMessage="1" showErrorMessage="1" sqref="C27:C59 C179:C199 C408:C462 C301:C310 C236:C257 C201:C202 C469:C476 C225 C227:C234 C204:C223 C259 C138:C177 C61:C88 C274:C278 C261:C272 C14:C22 C317:C318 C320:C326 C312:C315 C123:C136 C90:C121 C478:C505 C360:C367 C403:C406 C381:C401 C464:C467 C328:C345 C507:C524 C369:C379 C280:C299 C24:C25 C3:C12 C347:C358" xr:uid="{E58ED157-46CA-498F-B288-3A1FB79FD036}">
      <formula1>"Not Started, Working, Supported, Partial Support, Not Supported"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CAF1-5027-428A-BC3C-18A19A959A70}">
  <dimension ref="A1:C34"/>
  <sheetViews>
    <sheetView workbookViewId="0">
      <selection activeCell="B31" sqref="B31"/>
    </sheetView>
  </sheetViews>
  <sheetFormatPr defaultRowHeight="15" x14ac:dyDescent="0.25"/>
  <cols>
    <col min="1" max="1" width="14.28515625" bestFit="1" customWidth="1"/>
    <col min="2" max="2" width="29.5703125" customWidth="1"/>
    <col min="3" max="3" width="57.42578125" customWidth="1"/>
  </cols>
  <sheetData>
    <row r="1" spans="1:3" ht="15.75" thickBot="1" x14ac:dyDescent="0.3">
      <c r="A1" s="22" t="s">
        <v>488</v>
      </c>
      <c r="B1" s="19" t="s">
        <v>0</v>
      </c>
      <c r="C1" s="2" t="s">
        <v>467</v>
      </c>
    </row>
    <row r="2" spans="1:3" ht="15.75" thickBot="1" x14ac:dyDescent="0.3">
      <c r="A2" s="10"/>
      <c r="B2" s="72" t="s">
        <v>527</v>
      </c>
      <c r="C2" s="73"/>
    </row>
    <row r="3" spans="1:3" x14ac:dyDescent="0.25">
      <c r="A3" s="61" t="s">
        <v>498</v>
      </c>
      <c r="B3" s="53" t="s">
        <v>528</v>
      </c>
      <c r="C3" s="65" t="s">
        <v>563</v>
      </c>
    </row>
    <row r="4" spans="1:3" x14ac:dyDescent="0.25">
      <c r="A4" s="62" t="s">
        <v>488</v>
      </c>
      <c r="B4" s="54" t="s">
        <v>529</v>
      </c>
      <c r="C4" s="3"/>
    </row>
    <row r="5" spans="1:3" x14ac:dyDescent="0.25">
      <c r="A5" s="62" t="s">
        <v>488</v>
      </c>
      <c r="B5" s="54" t="s">
        <v>530</v>
      </c>
      <c r="C5" s="3"/>
    </row>
    <row r="6" spans="1:3" x14ac:dyDescent="0.25">
      <c r="A6" s="62" t="s">
        <v>488</v>
      </c>
      <c r="B6" s="54" t="s">
        <v>531</v>
      </c>
      <c r="C6" s="3"/>
    </row>
    <row r="7" spans="1:3" x14ac:dyDescent="0.25">
      <c r="A7" s="62" t="s">
        <v>488</v>
      </c>
      <c r="B7" s="54" t="s">
        <v>532</v>
      </c>
      <c r="C7" s="3"/>
    </row>
    <row r="8" spans="1:3" ht="15.75" thickBot="1" x14ac:dyDescent="0.3">
      <c r="A8" s="63" t="s">
        <v>488</v>
      </c>
      <c r="B8" s="55" t="s">
        <v>533</v>
      </c>
      <c r="C8" s="4"/>
    </row>
    <row r="9" spans="1:3" ht="15.75" thickBot="1" x14ac:dyDescent="0.3">
      <c r="B9" s="79" t="s">
        <v>534</v>
      </c>
      <c r="C9" s="80"/>
    </row>
    <row r="10" spans="1:3" x14ac:dyDescent="0.25">
      <c r="A10" s="61" t="s">
        <v>508</v>
      </c>
      <c r="B10" s="53" t="s">
        <v>535</v>
      </c>
      <c r="C10" s="26"/>
    </row>
    <row r="11" spans="1:3" x14ac:dyDescent="0.25">
      <c r="A11" s="62" t="s">
        <v>508</v>
      </c>
      <c r="B11" s="54" t="s">
        <v>536</v>
      </c>
      <c r="C11" s="27"/>
    </row>
    <row r="12" spans="1:3" x14ac:dyDescent="0.25">
      <c r="A12" s="62" t="s">
        <v>508</v>
      </c>
      <c r="B12" s="54" t="s">
        <v>537</v>
      </c>
      <c r="C12" s="27"/>
    </row>
    <row r="13" spans="1:3" x14ac:dyDescent="0.25">
      <c r="A13" s="62" t="s">
        <v>508</v>
      </c>
      <c r="B13" s="54" t="s">
        <v>538</v>
      </c>
      <c r="C13" s="27"/>
    </row>
    <row r="14" spans="1:3" x14ac:dyDescent="0.25">
      <c r="A14" s="62" t="s">
        <v>508</v>
      </c>
      <c r="B14" s="54" t="s">
        <v>539</v>
      </c>
      <c r="C14" s="27"/>
    </row>
    <row r="15" spans="1:3" ht="15.75" thickBot="1" x14ac:dyDescent="0.3">
      <c r="A15" s="63" t="s">
        <v>508</v>
      </c>
      <c r="B15" s="55" t="s">
        <v>540</v>
      </c>
      <c r="C15" s="28"/>
    </row>
    <row r="16" spans="1:3" ht="15.75" thickBot="1" x14ac:dyDescent="0.3">
      <c r="B16" s="79" t="s">
        <v>541</v>
      </c>
      <c r="C16" s="80"/>
    </row>
    <row r="17" spans="1:3" x14ac:dyDescent="0.25">
      <c r="A17" s="61" t="s">
        <v>488</v>
      </c>
      <c r="B17" s="53" t="s">
        <v>543</v>
      </c>
      <c r="C17" s="26"/>
    </row>
    <row r="18" spans="1:3" x14ac:dyDescent="0.25">
      <c r="A18" s="62" t="s">
        <v>488</v>
      </c>
      <c r="B18" s="54" t="s">
        <v>544</v>
      </c>
      <c r="C18" s="27"/>
    </row>
    <row r="19" spans="1:3" x14ac:dyDescent="0.25">
      <c r="A19" s="62" t="s">
        <v>488</v>
      </c>
      <c r="B19" s="54" t="s">
        <v>545</v>
      </c>
      <c r="C19" s="27"/>
    </row>
    <row r="20" spans="1:3" x14ac:dyDescent="0.25">
      <c r="A20" s="62" t="s">
        <v>488</v>
      </c>
      <c r="B20" s="54" t="s">
        <v>546</v>
      </c>
      <c r="C20" s="27"/>
    </row>
    <row r="21" spans="1:3" x14ac:dyDescent="0.25">
      <c r="A21" s="62" t="s">
        <v>497</v>
      </c>
      <c r="B21" s="54" t="s">
        <v>547</v>
      </c>
      <c r="C21" s="27" t="s">
        <v>564</v>
      </c>
    </row>
    <row r="22" spans="1:3" x14ac:dyDescent="0.25">
      <c r="A22" s="62" t="s">
        <v>488</v>
      </c>
      <c r="B22" s="54" t="s">
        <v>548</v>
      </c>
      <c r="C22" s="27"/>
    </row>
    <row r="23" spans="1:3" x14ac:dyDescent="0.25">
      <c r="A23" s="62" t="s">
        <v>488</v>
      </c>
      <c r="B23" s="54" t="s">
        <v>549</v>
      </c>
      <c r="C23" s="27"/>
    </row>
    <row r="24" spans="1:3" x14ac:dyDescent="0.25">
      <c r="A24" s="62" t="s">
        <v>488</v>
      </c>
      <c r="B24" s="54" t="s">
        <v>550</v>
      </c>
      <c r="C24" s="27"/>
    </row>
    <row r="25" spans="1:3" x14ac:dyDescent="0.25">
      <c r="A25" s="62" t="s">
        <v>488</v>
      </c>
      <c r="B25" s="54" t="s">
        <v>551</v>
      </c>
      <c r="C25" s="27"/>
    </row>
    <row r="26" spans="1:3" ht="15.75" thickBot="1" x14ac:dyDescent="0.3">
      <c r="A26" s="63" t="s">
        <v>498</v>
      </c>
      <c r="B26" s="55" t="s">
        <v>552</v>
      </c>
      <c r="C26" s="28" t="s">
        <v>561</v>
      </c>
    </row>
    <row r="27" spans="1:3" ht="15.75" thickBot="1" x14ac:dyDescent="0.3">
      <c r="B27" s="79" t="s">
        <v>542</v>
      </c>
      <c r="C27" s="80"/>
    </row>
    <row r="28" spans="1:3" x14ac:dyDescent="0.25">
      <c r="A28" s="61" t="s">
        <v>497</v>
      </c>
      <c r="B28" s="53" t="s">
        <v>553</v>
      </c>
      <c r="C28" s="26" t="s">
        <v>565</v>
      </c>
    </row>
    <row r="29" spans="1:3" x14ac:dyDescent="0.25">
      <c r="A29" s="62" t="s">
        <v>488</v>
      </c>
      <c r="B29" s="54" t="s">
        <v>554</v>
      </c>
      <c r="C29" s="27"/>
    </row>
    <row r="30" spans="1:3" x14ac:dyDescent="0.25">
      <c r="A30" s="62" t="s">
        <v>498</v>
      </c>
      <c r="B30" s="54" t="s">
        <v>555</v>
      </c>
      <c r="C30" s="27" t="s">
        <v>562</v>
      </c>
    </row>
    <row r="31" spans="1:3" x14ac:dyDescent="0.25">
      <c r="A31" s="62" t="s">
        <v>488</v>
      </c>
      <c r="B31" s="54" t="s">
        <v>556</v>
      </c>
      <c r="C31" s="27" t="s">
        <v>560</v>
      </c>
    </row>
    <row r="32" spans="1:3" x14ac:dyDescent="0.25">
      <c r="A32" s="62" t="s">
        <v>498</v>
      </c>
      <c r="B32" s="54" t="s">
        <v>557</v>
      </c>
      <c r="C32" s="27" t="s">
        <v>561</v>
      </c>
    </row>
    <row r="33" spans="1:3" x14ac:dyDescent="0.25">
      <c r="A33" s="62" t="s">
        <v>497</v>
      </c>
      <c r="B33" s="54" t="s">
        <v>558</v>
      </c>
      <c r="C33" s="27" t="s">
        <v>566</v>
      </c>
    </row>
    <row r="34" spans="1:3" ht="15.75" thickBot="1" x14ac:dyDescent="0.3">
      <c r="A34" s="63" t="s">
        <v>508</v>
      </c>
      <c r="B34" s="55" t="s">
        <v>559</v>
      </c>
      <c r="C34" s="28"/>
    </row>
  </sheetData>
  <mergeCells count="4">
    <mergeCell ref="B2:C2"/>
    <mergeCell ref="B9:C9"/>
    <mergeCell ref="B16:C16"/>
    <mergeCell ref="B27:C27"/>
  </mergeCells>
  <conditionalFormatting sqref="A3:A8">
    <cfRule type="containsText" dxfId="46" priority="46" operator="containsText" text="Not Started">
      <formula>NOT(ISERROR(SEARCH("Not Started",A3)))</formula>
    </cfRule>
    <cfRule type="containsText" dxfId="45" priority="59" operator="containsText" text="Not Supported">
      <formula>NOT(ISERROR(SEARCH("Not Supported",A3)))</formula>
    </cfRule>
    <cfRule type="containsText" dxfId="44" priority="60" operator="containsText" text="Partial Support">
      <formula>NOT(ISERROR(SEARCH("Partial Support",A3)))</formula>
    </cfRule>
    <cfRule type="containsText" dxfId="43" priority="61" operator="containsText" text="Supported">
      <formula>NOT(ISERROR(SEARCH("Supported",A3)))</formula>
    </cfRule>
    <cfRule type="containsText" dxfId="42" priority="62" operator="containsText" text="Working">
      <formula>NOT(ISERROR(SEARCH("Working",A3)))</formula>
    </cfRule>
  </conditionalFormatting>
  <conditionalFormatting sqref="A10:A15">
    <cfRule type="containsText" dxfId="41" priority="31" operator="containsText" text="Not Started">
      <formula>NOT(ISERROR(SEARCH("Not Started",A10)))</formula>
    </cfRule>
    <cfRule type="containsText" dxfId="40" priority="32" operator="containsText" text="Not Supported">
      <formula>NOT(ISERROR(SEARCH("Not Supported",A10)))</formula>
    </cfRule>
    <cfRule type="containsText" dxfId="39" priority="33" operator="containsText" text="Partial Support">
      <formula>NOT(ISERROR(SEARCH("Partial Support",A10)))</formula>
    </cfRule>
    <cfRule type="containsText" dxfId="38" priority="34" operator="containsText" text="Supported">
      <formula>NOT(ISERROR(SEARCH("Supported",A10)))</formula>
    </cfRule>
    <cfRule type="containsText" dxfId="37" priority="35" operator="containsText" text="Working">
      <formula>NOT(ISERROR(SEARCH("Working",A10)))</formula>
    </cfRule>
  </conditionalFormatting>
  <conditionalFormatting sqref="A17:A26">
    <cfRule type="containsText" dxfId="36" priority="16" operator="containsText" text="Not Started">
      <formula>NOT(ISERROR(SEARCH("Not Started",A17)))</formula>
    </cfRule>
    <cfRule type="containsText" dxfId="35" priority="17" operator="containsText" text="Not Supported">
      <formula>NOT(ISERROR(SEARCH("Not Supported",A17)))</formula>
    </cfRule>
    <cfRule type="containsText" dxfId="34" priority="18" operator="containsText" text="Partial Support">
      <formula>NOT(ISERROR(SEARCH("Partial Support",A17)))</formula>
    </cfRule>
    <cfRule type="containsText" dxfId="33" priority="19" operator="containsText" text="Supported">
      <formula>NOT(ISERROR(SEARCH("Supported",A17)))</formula>
    </cfRule>
    <cfRule type="containsText" dxfId="32" priority="20" operator="containsText" text="Working">
      <formula>NOT(ISERROR(SEARCH("Working",A17)))</formula>
    </cfRule>
  </conditionalFormatting>
  <conditionalFormatting sqref="A28:A34">
    <cfRule type="containsText" dxfId="31" priority="1" operator="containsText" text="Not Started">
      <formula>NOT(ISERROR(SEARCH("Not Started",A28)))</formula>
    </cfRule>
    <cfRule type="containsText" dxfId="30" priority="2" operator="containsText" text="Not Supported">
      <formula>NOT(ISERROR(SEARCH("Not Supported",A28)))</formula>
    </cfRule>
    <cfRule type="containsText" dxfId="29" priority="3" operator="containsText" text="Partial Support">
      <formula>NOT(ISERROR(SEARCH("Partial Support",A28)))</formula>
    </cfRule>
    <cfRule type="containsText" dxfId="28" priority="4" operator="containsText" text="Supported">
      <formula>NOT(ISERROR(SEARCH("Supported",A28)))</formula>
    </cfRule>
    <cfRule type="containsText" dxfId="27" priority="5" operator="containsText" text="Working">
      <formula>NOT(ISERROR(SEARCH("Working",A28)))</formula>
    </cfRule>
  </conditionalFormatting>
  <conditionalFormatting sqref="B3:B34">
    <cfRule type="expression" dxfId="26" priority="47">
      <formula xml:space="preserve"> AND($A3 = "Not Started", MOD(ROW(),2) = 1)</formula>
    </cfRule>
    <cfRule type="expression" dxfId="25" priority="48">
      <formula xml:space="preserve"> AND($A3 = "Not Started", MOD(ROW(),2) = 0)</formula>
    </cfRule>
    <cfRule type="expression" dxfId="24" priority="49">
      <formula xml:space="preserve"> AND($A3 = "Working", MOD(ROW(),2) = 0)</formula>
    </cfRule>
    <cfRule type="expression" dxfId="23" priority="50">
      <formula xml:space="preserve"> AND($A3 = "Supported", MOD(ROW(),2) = 0)</formula>
    </cfRule>
    <cfRule type="expression" dxfId="22" priority="51">
      <formula xml:space="preserve"> AND($A3 = "Partial Support", MOD(ROW(),2) = 0)</formula>
    </cfRule>
    <cfRule type="expression" dxfId="21" priority="52">
      <formula xml:space="preserve"> AND($A3 = "Not Supported", MOD(ROW(),2) = 0)</formula>
    </cfRule>
    <cfRule type="expression" dxfId="20" priority="53">
      <formula xml:space="preserve"> AND($A3 = "Not Supported", MOD(ROW(),2)=1)</formula>
    </cfRule>
    <cfRule type="expression" dxfId="19" priority="54">
      <formula xml:space="preserve"> AND($A3 = "Partial Support", MOD(ROW(),2) = 1)</formula>
    </cfRule>
    <cfRule type="expression" dxfId="18" priority="55">
      <formula xml:space="preserve"> AND($A3 = "Supported", MOD(ROW(),2) = 1)</formula>
    </cfRule>
    <cfRule type="expression" dxfId="17" priority="56">
      <formula xml:space="preserve"> AND($A3 = "Working", MOD(ROW(),2) = 1)</formula>
    </cfRule>
  </conditionalFormatting>
  <dataValidations count="1">
    <dataValidation type="list" allowBlank="1" showInputMessage="1" showErrorMessage="1" sqref="A3:A8 A10:A15 A28:A34 A17:A26" xr:uid="{97B7372F-F718-4E79-90DE-3BDD429F4C86}">
      <formula1>"Not Started, Working, Supported, Partial Support, Not Supported"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D4BD-34A9-49F2-BC5A-15978B954038}">
  <dimension ref="A1:C30"/>
  <sheetViews>
    <sheetView tabSelected="1" topLeftCell="A3" workbookViewId="0">
      <selection activeCell="C6" sqref="C6"/>
    </sheetView>
  </sheetViews>
  <sheetFormatPr defaultRowHeight="15" x14ac:dyDescent="0.25"/>
  <cols>
    <col min="2" max="2" width="37.5703125" customWidth="1"/>
  </cols>
  <sheetData>
    <row r="1" spans="1:3" x14ac:dyDescent="0.25">
      <c r="A1" s="1" t="s">
        <v>486</v>
      </c>
      <c r="B1" s="1" t="s">
        <v>480</v>
      </c>
      <c r="C1" s="1" t="s">
        <v>485</v>
      </c>
    </row>
    <row r="2" spans="1:3" x14ac:dyDescent="0.25">
      <c r="A2" s="25">
        <v>45972</v>
      </c>
      <c r="B2" t="s">
        <v>483</v>
      </c>
      <c r="C2" s="24" t="b">
        <v>1</v>
      </c>
    </row>
    <row r="3" spans="1:3" ht="45" x14ac:dyDescent="0.25">
      <c r="A3" s="25">
        <v>45972</v>
      </c>
      <c r="B3" s="23" t="s">
        <v>484</v>
      </c>
      <c r="C3" s="24" t="b">
        <v>0</v>
      </c>
    </row>
    <row r="4" spans="1:3" ht="15.75" customHeight="1" x14ac:dyDescent="0.25">
      <c r="A4" s="25">
        <v>45972</v>
      </c>
      <c r="B4" s="33" t="s">
        <v>482</v>
      </c>
      <c r="C4" s="24" t="b">
        <v>1</v>
      </c>
    </row>
    <row r="5" spans="1:3" ht="15.75" customHeight="1" x14ac:dyDescent="0.25">
      <c r="A5" s="25">
        <v>45972</v>
      </c>
      <c r="B5" s="33" t="s">
        <v>487</v>
      </c>
      <c r="C5" s="24" t="b">
        <v>1</v>
      </c>
    </row>
    <row r="6" spans="1:3" x14ac:dyDescent="0.25">
      <c r="A6" s="25">
        <v>45972</v>
      </c>
      <c r="B6" t="s">
        <v>481</v>
      </c>
      <c r="C6" s="24" t="b">
        <v>1</v>
      </c>
    </row>
    <row r="7" spans="1:3" x14ac:dyDescent="0.25">
      <c r="A7" s="34">
        <v>45973</v>
      </c>
      <c r="B7" s="35" t="s">
        <v>491</v>
      </c>
      <c r="C7" s="24" t="b">
        <v>1</v>
      </c>
    </row>
    <row r="8" spans="1:3" x14ac:dyDescent="0.25">
      <c r="A8" s="34">
        <v>45973</v>
      </c>
      <c r="B8" s="35" t="s">
        <v>492</v>
      </c>
      <c r="C8" s="24" t="b">
        <v>1</v>
      </c>
    </row>
    <row r="9" spans="1:3" x14ac:dyDescent="0.25">
      <c r="A9" s="34">
        <v>45973</v>
      </c>
      <c r="B9" s="35" t="s">
        <v>493</v>
      </c>
      <c r="C9" s="24" t="b">
        <v>1</v>
      </c>
    </row>
    <row r="10" spans="1:3" x14ac:dyDescent="0.25">
      <c r="A10" s="34">
        <v>45973</v>
      </c>
      <c r="B10" s="35" t="s">
        <v>494</v>
      </c>
      <c r="C10" s="24" t="b">
        <v>1</v>
      </c>
    </row>
    <row r="11" spans="1:3" ht="30" x14ac:dyDescent="0.25">
      <c r="A11" s="25">
        <v>45973</v>
      </c>
      <c r="B11" s="37" t="s">
        <v>495</v>
      </c>
      <c r="C11" s="24" t="b">
        <v>1</v>
      </c>
    </row>
    <row r="12" spans="1:3" ht="30" x14ac:dyDescent="0.25">
      <c r="A12" s="34">
        <v>45974</v>
      </c>
      <c r="B12" s="38" t="s">
        <v>496</v>
      </c>
      <c r="C12" s="24" t="b">
        <v>1</v>
      </c>
    </row>
    <row r="13" spans="1:3" x14ac:dyDescent="0.25">
      <c r="A13" s="34">
        <v>45974</v>
      </c>
      <c r="B13" t="s">
        <v>501</v>
      </c>
      <c r="C13" s="24" t="b">
        <v>1</v>
      </c>
    </row>
    <row r="14" spans="1:3" x14ac:dyDescent="0.25">
      <c r="A14" s="34">
        <v>45980</v>
      </c>
      <c r="B14" t="s">
        <v>505</v>
      </c>
      <c r="C14" s="24" t="b">
        <v>1</v>
      </c>
    </row>
    <row r="15" spans="1:3" ht="30" x14ac:dyDescent="0.25">
      <c r="A15" s="34">
        <v>45980</v>
      </c>
      <c r="B15" s="37" t="s">
        <v>506</v>
      </c>
      <c r="C15" s="24" t="b">
        <v>1</v>
      </c>
    </row>
    <row r="16" spans="1:3" x14ac:dyDescent="0.25">
      <c r="A16" s="34">
        <v>45981</v>
      </c>
      <c r="B16" t="s">
        <v>511</v>
      </c>
      <c r="C16" s="24" t="b">
        <v>1</v>
      </c>
    </row>
    <row r="17" spans="1:3" x14ac:dyDescent="0.25">
      <c r="A17" s="34">
        <v>45981</v>
      </c>
      <c r="B17" t="s">
        <v>512</v>
      </c>
      <c r="C17" s="24" t="b">
        <v>1</v>
      </c>
    </row>
    <row r="18" spans="1:3" x14ac:dyDescent="0.25">
      <c r="A18" s="34">
        <v>45982</v>
      </c>
      <c r="B18" t="s">
        <v>516</v>
      </c>
      <c r="C18" s="24" t="b">
        <v>1</v>
      </c>
    </row>
    <row r="19" spans="1:3" x14ac:dyDescent="0.25">
      <c r="A19" s="34">
        <v>45985</v>
      </c>
      <c r="B19" t="s">
        <v>519</v>
      </c>
      <c r="C19" s="24" t="b">
        <v>1</v>
      </c>
    </row>
    <row r="20" spans="1:3" x14ac:dyDescent="0.25">
      <c r="A20" s="34">
        <v>45985</v>
      </c>
      <c r="B20" t="s">
        <v>521</v>
      </c>
      <c r="C20" s="24" t="b">
        <v>1</v>
      </c>
    </row>
    <row r="21" spans="1:3" ht="30" x14ac:dyDescent="0.25">
      <c r="A21" s="34">
        <v>45985</v>
      </c>
      <c r="B21" s="37" t="s">
        <v>522</v>
      </c>
      <c r="C21" s="24" t="b">
        <v>0</v>
      </c>
    </row>
    <row r="22" spans="1:3" x14ac:dyDescent="0.25">
      <c r="A22" s="34">
        <v>45986</v>
      </c>
      <c r="B22" t="s">
        <v>523</v>
      </c>
      <c r="C22" s="24" t="b">
        <v>1</v>
      </c>
    </row>
    <row r="23" spans="1:3" x14ac:dyDescent="0.25">
      <c r="A23" s="34">
        <v>45987</v>
      </c>
      <c r="B23" t="s">
        <v>525</v>
      </c>
      <c r="C23" s="24" t="b">
        <v>0</v>
      </c>
    </row>
    <row r="24" spans="1:3" x14ac:dyDescent="0.25">
      <c r="A24" s="34">
        <v>45987</v>
      </c>
      <c r="B24" t="s">
        <v>526</v>
      </c>
      <c r="C24" s="24" t="b">
        <v>0</v>
      </c>
    </row>
    <row r="25" spans="1:3" x14ac:dyDescent="0.25">
      <c r="A25" s="34">
        <v>45993</v>
      </c>
      <c r="B25" t="s">
        <v>575</v>
      </c>
      <c r="C25" s="24" t="b">
        <v>0</v>
      </c>
    </row>
    <row r="26" spans="1:3" x14ac:dyDescent="0.25">
      <c r="A26" s="34">
        <v>45993</v>
      </c>
      <c r="B26" t="s">
        <v>576</v>
      </c>
      <c r="C26" s="24" t="b">
        <v>0</v>
      </c>
    </row>
    <row r="27" spans="1:3" x14ac:dyDescent="0.25">
      <c r="A27" s="34">
        <v>46003</v>
      </c>
      <c r="B27" t="s">
        <v>616</v>
      </c>
      <c r="C27" s="24" t="b">
        <v>0</v>
      </c>
    </row>
    <row r="28" spans="1:3" x14ac:dyDescent="0.25">
      <c r="A28" s="34">
        <v>46001</v>
      </c>
      <c r="B28" t="s">
        <v>636</v>
      </c>
      <c r="C28" s="24" t="b">
        <v>0</v>
      </c>
    </row>
    <row r="29" spans="1:3" x14ac:dyDescent="0.25">
      <c r="A29" s="34">
        <v>46001</v>
      </c>
      <c r="B29" t="s">
        <v>637</v>
      </c>
      <c r="C29" s="24" t="b">
        <v>0</v>
      </c>
    </row>
    <row r="30" spans="1:3" ht="30" x14ac:dyDescent="0.25">
      <c r="A30" s="34">
        <v>46001</v>
      </c>
      <c r="B30" s="37" t="s">
        <v>638</v>
      </c>
      <c r="C30" s="24" t="b">
        <v>0</v>
      </c>
    </row>
  </sheetData>
  <conditionalFormatting sqref="C2:C30">
    <cfRule type="cellIs" dxfId="16" priority="1" operator="equal">
      <formula>TRUE</formula>
    </cfRule>
    <cfRule type="cellIs" dxfId="15" priority="2" operator="equal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FD66-2314-45CC-913B-CF8ABA7BAC01}">
  <dimension ref="A1:C167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15" customWidth="1"/>
    <col min="2" max="2" width="94" style="52" customWidth="1"/>
    <col min="3" max="3" width="54" customWidth="1"/>
  </cols>
  <sheetData>
    <row r="1" spans="1:3" ht="15.75" thickBot="1" x14ac:dyDescent="0.3">
      <c r="A1" s="22" t="s">
        <v>488</v>
      </c>
      <c r="B1" s="19" t="s">
        <v>0</v>
      </c>
      <c r="C1" s="2" t="s">
        <v>467</v>
      </c>
    </row>
    <row r="2" spans="1:3" ht="15.75" thickBot="1" x14ac:dyDescent="0.3">
      <c r="A2" s="10"/>
      <c r="B2" s="72" t="s">
        <v>52</v>
      </c>
      <c r="C2" s="73"/>
    </row>
    <row r="3" spans="1:3" x14ac:dyDescent="0.25">
      <c r="A3" s="13" t="s">
        <v>488</v>
      </c>
      <c r="B3" s="53" t="s">
        <v>1</v>
      </c>
      <c r="C3" s="3"/>
    </row>
    <row r="4" spans="1:3" x14ac:dyDescent="0.25">
      <c r="A4" s="15" t="s">
        <v>498</v>
      </c>
      <c r="B4" s="54" t="s">
        <v>4</v>
      </c>
      <c r="C4" s="3"/>
    </row>
    <row r="5" spans="1:3" x14ac:dyDescent="0.25">
      <c r="A5" s="15" t="s">
        <v>498</v>
      </c>
      <c r="B5" s="54" t="s">
        <v>7</v>
      </c>
      <c r="C5" s="3"/>
    </row>
    <row r="6" spans="1:3" x14ac:dyDescent="0.25">
      <c r="A6" s="15" t="s">
        <v>498</v>
      </c>
      <c r="B6" s="54" t="s">
        <v>8</v>
      </c>
      <c r="C6" s="5"/>
    </row>
    <row r="7" spans="1:3" ht="15.75" thickBot="1" x14ac:dyDescent="0.3">
      <c r="A7" s="18" t="s">
        <v>498</v>
      </c>
      <c r="B7" s="55" t="s">
        <v>9</v>
      </c>
      <c r="C7" s="4"/>
    </row>
    <row r="8" spans="1:3" ht="15.75" thickBot="1" x14ac:dyDescent="0.3">
      <c r="B8" s="72" t="s">
        <v>54</v>
      </c>
      <c r="C8" s="73"/>
    </row>
    <row r="9" spans="1:3" x14ac:dyDescent="0.25">
      <c r="A9" s="13" t="s">
        <v>488</v>
      </c>
      <c r="B9" s="57" t="s">
        <v>20</v>
      </c>
      <c r="C9" s="6"/>
    </row>
    <row r="10" spans="1:3" ht="15.75" thickBot="1" x14ac:dyDescent="0.3">
      <c r="A10" s="18" t="s">
        <v>488</v>
      </c>
      <c r="B10" s="58" t="s">
        <v>21</v>
      </c>
      <c r="C10" s="7"/>
    </row>
    <row r="11" spans="1:3" ht="15.75" thickBot="1" x14ac:dyDescent="0.3">
      <c r="B11" s="74" t="s">
        <v>55</v>
      </c>
      <c r="C11" s="75"/>
    </row>
    <row r="12" spans="1:3" x14ac:dyDescent="0.25">
      <c r="A12" s="13" t="s">
        <v>498</v>
      </c>
      <c r="B12" s="53" t="s">
        <v>8</v>
      </c>
      <c r="C12" s="5" t="s">
        <v>479</v>
      </c>
    </row>
    <row r="13" spans="1:3" x14ac:dyDescent="0.25">
      <c r="A13" s="15" t="s">
        <v>498</v>
      </c>
      <c r="B13" s="54" t="s">
        <v>9</v>
      </c>
      <c r="C13" s="8" t="s">
        <v>490</v>
      </c>
    </row>
    <row r="14" spans="1:3" x14ac:dyDescent="0.25">
      <c r="A14" s="15" t="s">
        <v>488</v>
      </c>
      <c r="B14" s="54" t="s">
        <v>1</v>
      </c>
      <c r="C14" s="8"/>
    </row>
    <row r="15" spans="1:3" x14ac:dyDescent="0.25">
      <c r="A15" s="15" t="s">
        <v>488</v>
      </c>
      <c r="B15" s="54" t="s">
        <v>22</v>
      </c>
      <c r="C15" s="8" t="s">
        <v>468</v>
      </c>
    </row>
    <row r="16" spans="1:3" x14ac:dyDescent="0.25">
      <c r="A16" s="15" t="s">
        <v>488</v>
      </c>
      <c r="B16" s="54" t="s">
        <v>23</v>
      </c>
      <c r="C16" s="8"/>
    </row>
    <row r="17" spans="1:3" x14ac:dyDescent="0.25">
      <c r="A17" s="15" t="s">
        <v>488</v>
      </c>
      <c r="B17" s="54" t="s">
        <v>24</v>
      </c>
      <c r="C17" s="8"/>
    </row>
    <row r="18" spans="1:3" x14ac:dyDescent="0.25">
      <c r="A18" s="15" t="s">
        <v>488</v>
      </c>
      <c r="B18" s="54" t="s">
        <v>25</v>
      </c>
      <c r="C18" s="8"/>
    </row>
    <row r="19" spans="1:3" x14ac:dyDescent="0.25">
      <c r="A19" s="15" t="s">
        <v>498</v>
      </c>
      <c r="B19" s="54" t="s">
        <v>26</v>
      </c>
      <c r="C19" s="8" t="s">
        <v>469</v>
      </c>
    </row>
    <row r="20" spans="1:3" x14ac:dyDescent="0.25">
      <c r="A20" s="15" t="s">
        <v>488</v>
      </c>
      <c r="B20" s="54" t="s">
        <v>27</v>
      </c>
      <c r="C20" s="8"/>
    </row>
    <row r="21" spans="1:3" ht="15" customHeight="1" x14ac:dyDescent="0.25">
      <c r="A21" s="15" t="s">
        <v>488</v>
      </c>
      <c r="B21" s="54" t="s">
        <v>28</v>
      </c>
      <c r="C21" s="9" t="s">
        <v>470</v>
      </c>
    </row>
    <row r="22" spans="1:3" x14ac:dyDescent="0.25">
      <c r="A22" s="15" t="s">
        <v>488</v>
      </c>
      <c r="B22" s="54" t="s">
        <v>29</v>
      </c>
      <c r="C22" s="8"/>
    </row>
    <row r="23" spans="1:3" x14ac:dyDescent="0.25">
      <c r="A23" s="15" t="s">
        <v>498</v>
      </c>
      <c r="B23" s="54" t="s">
        <v>30</v>
      </c>
      <c r="C23" s="5" t="s">
        <v>479</v>
      </c>
    </row>
    <row r="24" spans="1:3" x14ac:dyDescent="0.25">
      <c r="A24" s="15" t="s">
        <v>488</v>
      </c>
      <c r="B24" s="54" t="s">
        <v>31</v>
      </c>
      <c r="C24" s="8"/>
    </row>
    <row r="25" spans="1:3" x14ac:dyDescent="0.25">
      <c r="A25" s="15" t="s">
        <v>488</v>
      </c>
      <c r="B25" s="54" t="s">
        <v>32</v>
      </c>
      <c r="C25" s="8"/>
    </row>
    <row r="26" spans="1:3" x14ac:dyDescent="0.25">
      <c r="A26" s="15" t="s">
        <v>488</v>
      </c>
      <c r="B26" s="54" t="s">
        <v>33</v>
      </c>
      <c r="C26" s="8"/>
    </row>
    <row r="27" spans="1:3" x14ac:dyDescent="0.25">
      <c r="A27" s="15" t="s">
        <v>497</v>
      </c>
      <c r="B27" s="54" t="s">
        <v>34</v>
      </c>
      <c r="C27" s="8" t="s">
        <v>475</v>
      </c>
    </row>
    <row r="28" spans="1:3" x14ac:dyDescent="0.25">
      <c r="A28" s="15" t="s">
        <v>497</v>
      </c>
      <c r="B28" s="54" t="s">
        <v>35</v>
      </c>
      <c r="C28" s="8" t="s">
        <v>475</v>
      </c>
    </row>
    <row r="29" spans="1:3" x14ac:dyDescent="0.25">
      <c r="A29" s="15" t="s">
        <v>497</v>
      </c>
      <c r="B29" s="54" t="s">
        <v>36</v>
      </c>
      <c r="C29" s="8" t="s">
        <v>471</v>
      </c>
    </row>
    <row r="30" spans="1:3" x14ac:dyDescent="0.25">
      <c r="A30" s="15" t="s">
        <v>497</v>
      </c>
      <c r="B30" s="54" t="s">
        <v>37</v>
      </c>
      <c r="C30" s="8" t="s">
        <v>471</v>
      </c>
    </row>
    <row r="31" spans="1:3" x14ac:dyDescent="0.25">
      <c r="A31" s="15" t="s">
        <v>497</v>
      </c>
      <c r="B31" s="54" t="s">
        <v>38</v>
      </c>
      <c r="C31" s="8" t="s">
        <v>471</v>
      </c>
    </row>
    <row r="32" spans="1:3" x14ac:dyDescent="0.25">
      <c r="A32" s="15" t="s">
        <v>497</v>
      </c>
      <c r="B32" s="54" t="s">
        <v>39</v>
      </c>
      <c r="C32" s="8" t="s">
        <v>471</v>
      </c>
    </row>
    <row r="33" spans="1:3" x14ac:dyDescent="0.25">
      <c r="A33" s="15" t="s">
        <v>497</v>
      </c>
      <c r="B33" s="54" t="s">
        <v>40</v>
      </c>
      <c r="C33" s="8" t="s">
        <v>476</v>
      </c>
    </row>
    <row r="34" spans="1:3" x14ac:dyDescent="0.25">
      <c r="A34" s="15" t="s">
        <v>497</v>
      </c>
      <c r="B34" s="54" t="s">
        <v>41</v>
      </c>
      <c r="C34" s="8" t="s">
        <v>476</v>
      </c>
    </row>
    <row r="35" spans="1:3" x14ac:dyDescent="0.25">
      <c r="A35" s="15" t="s">
        <v>498</v>
      </c>
      <c r="B35" s="54" t="s">
        <v>42</v>
      </c>
      <c r="C35" s="9" t="s">
        <v>477</v>
      </c>
    </row>
    <row r="36" spans="1:3" x14ac:dyDescent="0.25">
      <c r="A36" s="15" t="s">
        <v>498</v>
      </c>
      <c r="B36" s="54" t="s">
        <v>43</v>
      </c>
      <c r="C36" s="9" t="s">
        <v>477</v>
      </c>
    </row>
    <row r="37" spans="1:3" x14ac:dyDescent="0.25">
      <c r="A37" s="15" t="s">
        <v>497</v>
      </c>
      <c r="B37" s="54" t="s">
        <v>44</v>
      </c>
      <c r="C37" s="8" t="s">
        <v>475</v>
      </c>
    </row>
    <row r="38" spans="1:3" x14ac:dyDescent="0.25">
      <c r="A38" s="15" t="s">
        <v>497</v>
      </c>
      <c r="B38" s="54" t="s">
        <v>45</v>
      </c>
      <c r="C38" s="8" t="s">
        <v>475</v>
      </c>
    </row>
    <row r="39" spans="1:3" x14ac:dyDescent="0.25">
      <c r="A39" s="15" t="s">
        <v>497</v>
      </c>
      <c r="B39" s="54" t="s">
        <v>46</v>
      </c>
      <c r="C39" s="8" t="s">
        <v>474</v>
      </c>
    </row>
    <row r="40" spans="1:3" x14ac:dyDescent="0.25">
      <c r="A40" s="15" t="s">
        <v>497</v>
      </c>
      <c r="B40" s="54" t="s">
        <v>47</v>
      </c>
      <c r="C40" s="8" t="s">
        <v>474</v>
      </c>
    </row>
    <row r="41" spans="1:3" x14ac:dyDescent="0.25">
      <c r="A41" s="15" t="s">
        <v>497</v>
      </c>
      <c r="B41" s="54" t="s">
        <v>48</v>
      </c>
      <c r="C41" s="8" t="s">
        <v>475</v>
      </c>
    </row>
    <row r="42" spans="1:3" x14ac:dyDescent="0.25">
      <c r="A42" s="15" t="s">
        <v>497</v>
      </c>
      <c r="B42" s="54" t="s">
        <v>49</v>
      </c>
      <c r="C42" s="8" t="s">
        <v>475</v>
      </c>
    </row>
    <row r="43" spans="1:3" x14ac:dyDescent="0.25">
      <c r="A43" s="15" t="s">
        <v>498</v>
      </c>
      <c r="B43" s="54" t="s">
        <v>50</v>
      </c>
      <c r="C43" s="8" t="s">
        <v>478</v>
      </c>
    </row>
    <row r="44" spans="1:3" ht="15.75" thickBot="1" x14ac:dyDescent="0.3">
      <c r="A44" s="18" t="s">
        <v>488</v>
      </c>
      <c r="B44" s="55" t="s">
        <v>51</v>
      </c>
      <c r="C44" s="7"/>
    </row>
    <row r="45" spans="1:3" ht="15.75" thickBot="1" x14ac:dyDescent="0.3">
      <c r="B45" s="41" t="s">
        <v>56</v>
      </c>
    </row>
    <row r="46" spans="1:3" x14ac:dyDescent="0.25">
      <c r="A46" s="13" t="s">
        <v>498</v>
      </c>
      <c r="B46" s="42" t="s">
        <v>7</v>
      </c>
      <c r="C46" s="6"/>
    </row>
    <row r="47" spans="1:3" x14ac:dyDescent="0.25">
      <c r="A47" s="60" t="s">
        <v>488</v>
      </c>
      <c r="B47" s="43" t="s">
        <v>1</v>
      </c>
      <c r="C47" s="8"/>
    </row>
    <row r="48" spans="1:3" x14ac:dyDescent="0.25">
      <c r="A48" s="15" t="s">
        <v>497</v>
      </c>
      <c r="B48" s="43" t="s">
        <v>57</v>
      </c>
      <c r="C48" s="8" t="s">
        <v>471</v>
      </c>
    </row>
    <row r="49" spans="1:3" x14ac:dyDescent="0.25">
      <c r="A49" s="15" t="s">
        <v>497</v>
      </c>
      <c r="B49" s="43" t="s">
        <v>58</v>
      </c>
      <c r="C49" s="8" t="s">
        <v>471</v>
      </c>
    </row>
    <row r="50" spans="1:3" x14ac:dyDescent="0.25">
      <c r="A50" s="15" t="s">
        <v>497</v>
      </c>
      <c r="B50" s="43" t="s">
        <v>59</v>
      </c>
      <c r="C50" s="8" t="s">
        <v>471</v>
      </c>
    </row>
    <row r="51" spans="1:3" x14ac:dyDescent="0.25">
      <c r="A51" s="15" t="s">
        <v>497</v>
      </c>
      <c r="B51" s="43" t="s">
        <v>60</v>
      </c>
      <c r="C51" s="8" t="s">
        <v>471</v>
      </c>
    </row>
    <row r="52" spans="1:3" x14ac:dyDescent="0.25">
      <c r="A52" s="60" t="s">
        <v>498</v>
      </c>
      <c r="B52" s="43" t="s">
        <v>61</v>
      </c>
      <c r="C52" s="9" t="s">
        <v>514</v>
      </c>
    </row>
    <row r="53" spans="1:3" x14ac:dyDescent="0.25">
      <c r="A53" s="60" t="s">
        <v>488</v>
      </c>
      <c r="B53" s="43" t="s">
        <v>62</v>
      </c>
      <c r="C53" s="9"/>
    </row>
    <row r="54" spans="1:3" x14ac:dyDescent="0.25">
      <c r="A54" s="60" t="s">
        <v>488</v>
      </c>
      <c r="B54" s="43" t="s">
        <v>63</v>
      </c>
      <c r="C54" s="8"/>
    </row>
    <row r="55" spans="1:3" x14ac:dyDescent="0.25">
      <c r="A55" s="60" t="s">
        <v>488</v>
      </c>
      <c r="B55" s="43" t="s">
        <v>64</v>
      </c>
      <c r="C55" s="8"/>
    </row>
    <row r="56" spans="1:3" x14ac:dyDescent="0.25">
      <c r="A56" s="60" t="s">
        <v>498</v>
      </c>
      <c r="B56" s="43" t="s">
        <v>65</v>
      </c>
      <c r="C56" s="8" t="s">
        <v>515</v>
      </c>
    </row>
    <row r="57" spans="1:3" x14ac:dyDescent="0.25">
      <c r="A57" s="60" t="s">
        <v>488</v>
      </c>
      <c r="B57" s="43" t="s">
        <v>66</v>
      </c>
      <c r="C57" s="8"/>
    </row>
    <row r="58" spans="1:3" x14ac:dyDescent="0.25">
      <c r="A58" s="60" t="s">
        <v>488</v>
      </c>
      <c r="B58" s="43" t="s">
        <v>67</v>
      </c>
      <c r="C58" s="8"/>
    </row>
    <row r="59" spans="1:3" x14ac:dyDescent="0.25">
      <c r="A59" s="60" t="s">
        <v>488</v>
      </c>
      <c r="B59" s="43" t="s">
        <v>68</v>
      </c>
      <c r="C59" s="8"/>
    </row>
    <row r="60" spans="1:3" x14ac:dyDescent="0.25">
      <c r="A60" s="60" t="s">
        <v>497</v>
      </c>
      <c r="B60" s="43" t="s">
        <v>69</v>
      </c>
      <c r="C60" s="8"/>
    </row>
    <row r="61" spans="1:3" x14ac:dyDescent="0.25">
      <c r="A61" s="60" t="s">
        <v>497</v>
      </c>
      <c r="B61" s="43" t="s">
        <v>70</v>
      </c>
      <c r="C61" s="8"/>
    </row>
    <row r="62" spans="1:3" x14ac:dyDescent="0.25">
      <c r="A62" s="60" t="s">
        <v>497</v>
      </c>
      <c r="B62" s="43" t="s">
        <v>71</v>
      </c>
      <c r="C62" s="8"/>
    </row>
    <row r="63" spans="1:3" x14ac:dyDescent="0.25">
      <c r="A63" s="60" t="s">
        <v>497</v>
      </c>
      <c r="B63" s="43" t="s">
        <v>72</v>
      </c>
      <c r="C63" s="8"/>
    </row>
    <row r="64" spans="1:3" x14ac:dyDescent="0.25">
      <c r="A64" s="60" t="s">
        <v>498</v>
      </c>
      <c r="B64" s="43" t="s">
        <v>73</v>
      </c>
      <c r="C64" s="8" t="s">
        <v>513</v>
      </c>
    </row>
    <row r="65" spans="1:3" x14ac:dyDescent="0.25">
      <c r="A65" s="60" t="s">
        <v>488</v>
      </c>
      <c r="B65" s="43" t="s">
        <v>74</v>
      </c>
      <c r="C65" s="8"/>
    </row>
    <row r="66" spans="1:3" x14ac:dyDescent="0.25">
      <c r="A66" s="60" t="s">
        <v>488</v>
      </c>
      <c r="B66" s="43" t="s">
        <v>75</v>
      </c>
      <c r="C66" s="8"/>
    </row>
    <row r="67" spans="1:3" x14ac:dyDescent="0.25">
      <c r="A67" s="60" t="s">
        <v>488</v>
      </c>
      <c r="B67" s="43" t="s">
        <v>76</v>
      </c>
      <c r="C67" s="8"/>
    </row>
    <row r="68" spans="1:3" x14ac:dyDescent="0.25">
      <c r="A68" s="15" t="s">
        <v>497</v>
      </c>
      <c r="B68" s="43" t="s">
        <v>77</v>
      </c>
      <c r="C68" s="8" t="s">
        <v>474</v>
      </c>
    </row>
    <row r="69" spans="1:3" x14ac:dyDescent="0.25">
      <c r="A69" s="15" t="s">
        <v>497</v>
      </c>
      <c r="B69" s="43" t="s">
        <v>78</v>
      </c>
      <c r="C69" s="8" t="s">
        <v>474</v>
      </c>
    </row>
    <row r="70" spans="1:3" x14ac:dyDescent="0.25">
      <c r="A70" s="15" t="s">
        <v>497</v>
      </c>
      <c r="B70" s="43" t="s">
        <v>79</v>
      </c>
      <c r="C70" s="8" t="s">
        <v>475</v>
      </c>
    </row>
    <row r="71" spans="1:3" x14ac:dyDescent="0.25">
      <c r="A71" s="15" t="s">
        <v>497</v>
      </c>
      <c r="B71" s="43" t="s">
        <v>80</v>
      </c>
      <c r="C71" s="8" t="s">
        <v>475</v>
      </c>
    </row>
    <row r="72" spans="1:3" x14ac:dyDescent="0.25">
      <c r="A72" s="60" t="s">
        <v>498</v>
      </c>
      <c r="B72" s="43" t="s">
        <v>81</v>
      </c>
      <c r="C72" s="8" t="s">
        <v>478</v>
      </c>
    </row>
    <row r="73" spans="1:3" ht="15.75" thickBot="1" x14ac:dyDescent="0.3">
      <c r="A73" s="18" t="s">
        <v>488</v>
      </c>
      <c r="B73" s="44" t="s">
        <v>82</v>
      </c>
      <c r="C73" s="7"/>
    </row>
    <row r="74" spans="1:3" ht="15.75" thickBot="1" x14ac:dyDescent="0.3">
      <c r="A74" s="40"/>
      <c r="B74" s="45" t="s">
        <v>114</v>
      </c>
    </row>
    <row r="75" spans="1:3" x14ac:dyDescent="0.25">
      <c r="A75" s="13" t="s">
        <v>498</v>
      </c>
      <c r="B75" s="42" t="s">
        <v>83</v>
      </c>
      <c r="C75" s="8" t="s">
        <v>520</v>
      </c>
    </row>
    <row r="76" spans="1:3" x14ac:dyDescent="0.25">
      <c r="A76" s="60" t="s">
        <v>488</v>
      </c>
      <c r="B76" s="43" t="s">
        <v>1</v>
      </c>
      <c r="C76" s="8"/>
    </row>
    <row r="77" spans="1:3" x14ac:dyDescent="0.25">
      <c r="A77" s="60" t="s">
        <v>488</v>
      </c>
      <c r="B77" s="43" t="s">
        <v>84</v>
      </c>
      <c r="C77" s="8" t="s">
        <v>468</v>
      </c>
    </row>
    <row r="78" spans="1:3" x14ac:dyDescent="0.25">
      <c r="A78" s="60" t="s">
        <v>488</v>
      </c>
      <c r="B78" s="43" t="s">
        <v>85</v>
      </c>
      <c r="C78" s="8"/>
    </row>
    <row r="79" spans="1:3" x14ac:dyDescent="0.25">
      <c r="A79" s="60" t="s">
        <v>488</v>
      </c>
      <c r="B79" s="43" t="s">
        <v>86</v>
      </c>
      <c r="C79" s="8"/>
    </row>
    <row r="80" spans="1:3" x14ac:dyDescent="0.25">
      <c r="A80" s="60" t="s">
        <v>488</v>
      </c>
      <c r="B80" s="43" t="s">
        <v>87</v>
      </c>
      <c r="C80" s="8"/>
    </row>
    <row r="81" spans="1:3" x14ac:dyDescent="0.25">
      <c r="A81" s="60" t="s">
        <v>498</v>
      </c>
      <c r="B81" s="43" t="s">
        <v>88</v>
      </c>
      <c r="C81" s="8" t="s">
        <v>515</v>
      </c>
    </row>
    <row r="82" spans="1:3" x14ac:dyDescent="0.25">
      <c r="A82" s="60" t="s">
        <v>488</v>
      </c>
      <c r="B82" s="43" t="s">
        <v>89</v>
      </c>
      <c r="C82" s="8"/>
    </row>
    <row r="83" spans="1:3" x14ac:dyDescent="0.25">
      <c r="A83" s="60" t="s">
        <v>488</v>
      </c>
      <c r="B83" s="43" t="s">
        <v>90</v>
      </c>
      <c r="C83" s="8"/>
    </row>
    <row r="84" spans="1:3" x14ac:dyDescent="0.25">
      <c r="A84" s="60" t="s">
        <v>488</v>
      </c>
      <c r="B84" s="43" t="s">
        <v>91</v>
      </c>
      <c r="C84" s="8"/>
    </row>
    <row r="85" spans="1:3" x14ac:dyDescent="0.25">
      <c r="A85" s="60" t="s">
        <v>498</v>
      </c>
      <c r="B85" s="43" t="s">
        <v>92</v>
      </c>
      <c r="C85" s="8" t="s">
        <v>520</v>
      </c>
    </row>
    <row r="86" spans="1:3" x14ac:dyDescent="0.25">
      <c r="A86" s="60" t="s">
        <v>488</v>
      </c>
      <c r="B86" s="43" t="s">
        <v>93</v>
      </c>
      <c r="C86" s="8"/>
    </row>
    <row r="87" spans="1:3" x14ac:dyDescent="0.25">
      <c r="A87" s="60" t="s">
        <v>488</v>
      </c>
      <c r="B87" s="43" t="s">
        <v>94</v>
      </c>
      <c r="C87" s="8"/>
    </row>
    <row r="88" spans="1:3" x14ac:dyDescent="0.25">
      <c r="A88" s="60" t="s">
        <v>488</v>
      </c>
      <c r="B88" s="43" t="s">
        <v>95</v>
      </c>
      <c r="C88" s="8"/>
    </row>
    <row r="89" spans="1:3" x14ac:dyDescent="0.25">
      <c r="A89" s="60" t="s">
        <v>497</v>
      </c>
      <c r="B89" s="43" t="s">
        <v>96</v>
      </c>
      <c r="C89" s="8" t="s">
        <v>518</v>
      </c>
    </row>
    <row r="90" spans="1:3" x14ac:dyDescent="0.25">
      <c r="A90" s="60" t="s">
        <v>488</v>
      </c>
      <c r="B90" s="43" t="s">
        <v>97</v>
      </c>
      <c r="C90" s="8"/>
    </row>
    <row r="91" spans="1:3" x14ac:dyDescent="0.25">
      <c r="A91" s="60" t="s">
        <v>497</v>
      </c>
      <c r="B91" s="43" t="s">
        <v>98</v>
      </c>
      <c r="C91" s="8" t="s">
        <v>475</v>
      </c>
    </row>
    <row r="92" spans="1:3" x14ac:dyDescent="0.25">
      <c r="A92" s="60" t="s">
        <v>497</v>
      </c>
      <c r="B92" s="43" t="s">
        <v>99</v>
      </c>
      <c r="C92" s="8" t="s">
        <v>475</v>
      </c>
    </row>
    <row r="93" spans="1:3" x14ac:dyDescent="0.25">
      <c r="A93" s="15" t="s">
        <v>497</v>
      </c>
      <c r="B93" s="43" t="s">
        <v>100</v>
      </c>
      <c r="C93" s="8" t="s">
        <v>471</v>
      </c>
    </row>
    <row r="94" spans="1:3" x14ac:dyDescent="0.25">
      <c r="A94" s="15" t="s">
        <v>497</v>
      </c>
      <c r="B94" s="43" t="s">
        <v>101</v>
      </c>
      <c r="C94" s="8" t="s">
        <v>471</v>
      </c>
    </row>
    <row r="95" spans="1:3" x14ac:dyDescent="0.25">
      <c r="A95" s="15" t="s">
        <v>497</v>
      </c>
      <c r="B95" s="43" t="s">
        <v>102</v>
      </c>
      <c r="C95" s="8" t="s">
        <v>471</v>
      </c>
    </row>
    <row r="96" spans="1:3" x14ac:dyDescent="0.25">
      <c r="A96" s="15" t="s">
        <v>497</v>
      </c>
      <c r="B96" s="43" t="s">
        <v>103</v>
      </c>
      <c r="C96" s="8" t="s">
        <v>471</v>
      </c>
    </row>
    <row r="97" spans="1:3" x14ac:dyDescent="0.25">
      <c r="A97" s="60" t="s">
        <v>498</v>
      </c>
      <c r="B97" s="43" t="s">
        <v>104</v>
      </c>
      <c r="C97" s="9" t="s">
        <v>514</v>
      </c>
    </row>
    <row r="98" spans="1:3" x14ac:dyDescent="0.25">
      <c r="A98" s="60" t="s">
        <v>488</v>
      </c>
      <c r="B98" s="43" t="s">
        <v>105</v>
      </c>
      <c r="C98" s="8"/>
    </row>
    <row r="99" spans="1:3" x14ac:dyDescent="0.25">
      <c r="A99" s="15" t="s">
        <v>497</v>
      </c>
      <c r="B99" s="43" t="s">
        <v>106</v>
      </c>
      <c r="C99" s="8" t="s">
        <v>474</v>
      </c>
    </row>
    <row r="100" spans="1:3" x14ac:dyDescent="0.25">
      <c r="A100" s="15" t="s">
        <v>497</v>
      </c>
      <c r="B100" s="43" t="s">
        <v>107</v>
      </c>
      <c r="C100" s="8" t="s">
        <v>474</v>
      </c>
    </row>
    <row r="101" spans="1:3" x14ac:dyDescent="0.25">
      <c r="A101" s="15" t="s">
        <v>497</v>
      </c>
      <c r="B101" s="43" t="s">
        <v>108</v>
      </c>
      <c r="C101" s="8" t="s">
        <v>475</v>
      </c>
    </row>
    <row r="102" spans="1:3" x14ac:dyDescent="0.25">
      <c r="A102" s="15" t="s">
        <v>497</v>
      </c>
      <c r="B102" s="43" t="s">
        <v>109</v>
      </c>
      <c r="C102" s="8" t="s">
        <v>475</v>
      </c>
    </row>
    <row r="103" spans="1:3" x14ac:dyDescent="0.25">
      <c r="A103" s="60" t="s">
        <v>488</v>
      </c>
      <c r="B103" s="43" t="s">
        <v>110</v>
      </c>
      <c r="C103" s="8"/>
    </row>
    <row r="104" spans="1:3" x14ac:dyDescent="0.25">
      <c r="A104" s="60" t="s">
        <v>488</v>
      </c>
      <c r="B104" s="43" t="s">
        <v>111</v>
      </c>
      <c r="C104" s="8"/>
    </row>
    <row r="105" spans="1:3" x14ac:dyDescent="0.25">
      <c r="A105" s="60" t="s">
        <v>497</v>
      </c>
      <c r="B105" s="43" t="s">
        <v>112</v>
      </c>
      <c r="C105" s="8"/>
    </row>
    <row r="106" spans="1:3" ht="15.75" thickBot="1" x14ac:dyDescent="0.3">
      <c r="A106" s="18" t="s">
        <v>497</v>
      </c>
      <c r="B106" s="44" t="s">
        <v>113</v>
      </c>
      <c r="C106" s="7"/>
    </row>
    <row r="107" spans="1:3" ht="15.75" thickBot="1" x14ac:dyDescent="0.3">
      <c r="A107" s="40"/>
      <c r="B107" s="45" t="s">
        <v>190</v>
      </c>
    </row>
    <row r="108" spans="1:3" x14ac:dyDescent="0.25">
      <c r="A108" s="13" t="s">
        <v>497</v>
      </c>
      <c r="B108" s="46" t="s">
        <v>191</v>
      </c>
      <c r="C108" s="6" t="s">
        <v>475</v>
      </c>
    </row>
    <row r="109" spans="1:3" x14ac:dyDescent="0.25">
      <c r="A109" s="15" t="s">
        <v>497</v>
      </c>
      <c r="B109" s="47" t="s">
        <v>128</v>
      </c>
      <c r="C109" s="8" t="s">
        <v>475</v>
      </c>
    </row>
    <row r="110" spans="1:3" x14ac:dyDescent="0.25">
      <c r="A110" s="15" t="s">
        <v>497</v>
      </c>
      <c r="B110" s="47" t="s">
        <v>98</v>
      </c>
      <c r="C110" s="8" t="s">
        <v>475</v>
      </c>
    </row>
    <row r="111" spans="1:3" x14ac:dyDescent="0.25">
      <c r="A111" s="15" t="s">
        <v>497</v>
      </c>
      <c r="B111" s="47" t="s">
        <v>99</v>
      </c>
      <c r="C111" s="8" t="s">
        <v>475</v>
      </c>
    </row>
    <row r="112" spans="1:3" x14ac:dyDescent="0.25">
      <c r="A112" s="15" t="s">
        <v>497</v>
      </c>
      <c r="B112" s="47" t="s">
        <v>108</v>
      </c>
      <c r="C112" s="8" t="s">
        <v>475</v>
      </c>
    </row>
    <row r="113" spans="1:3" x14ac:dyDescent="0.25">
      <c r="A113" s="15" t="s">
        <v>497</v>
      </c>
      <c r="B113" s="47" t="s">
        <v>109</v>
      </c>
      <c r="C113" s="8" t="s">
        <v>475</v>
      </c>
    </row>
    <row r="114" spans="1:3" x14ac:dyDescent="0.25">
      <c r="A114" s="15" t="s">
        <v>497</v>
      </c>
      <c r="B114" s="47" t="s">
        <v>192</v>
      </c>
      <c r="C114" s="8" t="s">
        <v>475</v>
      </c>
    </row>
    <row r="115" spans="1:3" x14ac:dyDescent="0.25">
      <c r="A115" s="15" t="s">
        <v>497</v>
      </c>
      <c r="B115" s="47" t="s">
        <v>193</v>
      </c>
      <c r="C115" s="8" t="s">
        <v>475</v>
      </c>
    </row>
    <row r="116" spans="1:3" x14ac:dyDescent="0.25">
      <c r="A116" s="15" t="s">
        <v>497</v>
      </c>
      <c r="B116" s="47" t="s">
        <v>79</v>
      </c>
      <c r="C116" s="8" t="s">
        <v>475</v>
      </c>
    </row>
    <row r="117" spans="1:3" x14ac:dyDescent="0.25">
      <c r="A117" s="15" t="s">
        <v>497</v>
      </c>
      <c r="B117" s="47" t="s">
        <v>80</v>
      </c>
      <c r="C117" s="8" t="s">
        <v>475</v>
      </c>
    </row>
    <row r="118" spans="1:3" x14ac:dyDescent="0.25">
      <c r="A118" s="15" t="s">
        <v>497</v>
      </c>
      <c r="B118" s="47" t="s">
        <v>184</v>
      </c>
      <c r="C118" s="8" t="s">
        <v>475</v>
      </c>
    </row>
    <row r="119" spans="1:3" x14ac:dyDescent="0.25">
      <c r="A119" s="15" t="s">
        <v>497</v>
      </c>
      <c r="B119" s="47" t="s">
        <v>186</v>
      </c>
      <c r="C119" s="8" t="s">
        <v>475</v>
      </c>
    </row>
    <row r="120" spans="1:3" x14ac:dyDescent="0.25">
      <c r="A120" s="15" t="s">
        <v>497</v>
      </c>
      <c r="B120" s="47" t="s">
        <v>142</v>
      </c>
      <c r="C120" s="8" t="s">
        <v>475</v>
      </c>
    </row>
    <row r="121" spans="1:3" x14ac:dyDescent="0.25">
      <c r="A121" s="15" t="s">
        <v>497</v>
      </c>
      <c r="B121" s="47" t="s">
        <v>143</v>
      </c>
      <c r="C121" s="8" t="s">
        <v>475</v>
      </c>
    </row>
    <row r="122" spans="1:3" x14ac:dyDescent="0.25">
      <c r="A122" s="15" t="s">
        <v>497</v>
      </c>
      <c r="B122" s="47" t="s">
        <v>34</v>
      </c>
      <c r="C122" s="8" t="s">
        <v>475</v>
      </c>
    </row>
    <row r="123" spans="1:3" x14ac:dyDescent="0.25">
      <c r="A123" s="15" t="s">
        <v>497</v>
      </c>
      <c r="B123" s="47" t="s">
        <v>35</v>
      </c>
      <c r="C123" s="8" t="s">
        <v>475</v>
      </c>
    </row>
    <row r="124" spans="1:3" x14ac:dyDescent="0.25">
      <c r="A124" s="15" t="s">
        <v>497</v>
      </c>
      <c r="B124" s="47" t="s">
        <v>44</v>
      </c>
      <c r="C124" s="8" t="s">
        <v>475</v>
      </c>
    </row>
    <row r="125" spans="1:3" x14ac:dyDescent="0.25">
      <c r="A125" s="15" t="s">
        <v>497</v>
      </c>
      <c r="B125" s="47" t="s">
        <v>45</v>
      </c>
      <c r="C125" s="8" t="s">
        <v>475</v>
      </c>
    </row>
    <row r="126" spans="1:3" x14ac:dyDescent="0.25">
      <c r="A126" s="15" t="s">
        <v>497</v>
      </c>
      <c r="B126" s="47" t="s">
        <v>48</v>
      </c>
      <c r="C126" s="8" t="s">
        <v>475</v>
      </c>
    </row>
    <row r="127" spans="1:3" ht="15.75" thickBot="1" x14ac:dyDescent="0.3">
      <c r="A127" s="18" t="s">
        <v>497</v>
      </c>
      <c r="B127" s="48" t="s">
        <v>49</v>
      </c>
      <c r="C127" s="7" t="s">
        <v>475</v>
      </c>
    </row>
    <row r="128" spans="1:3" ht="15.75" thickBot="1" x14ac:dyDescent="0.3">
      <c r="A128" s="40"/>
      <c r="B128" s="45" t="s">
        <v>196</v>
      </c>
    </row>
    <row r="129" spans="1:3" x14ac:dyDescent="0.25">
      <c r="A129" s="13" t="s">
        <v>488</v>
      </c>
      <c r="B129" s="42" t="s">
        <v>197</v>
      </c>
      <c r="C129" s="6"/>
    </row>
    <row r="130" spans="1:3" x14ac:dyDescent="0.25">
      <c r="A130" s="15" t="s">
        <v>488</v>
      </c>
      <c r="B130" s="43" t="s">
        <v>198</v>
      </c>
      <c r="C130" s="8"/>
    </row>
    <row r="131" spans="1:3" x14ac:dyDescent="0.25">
      <c r="A131" s="15" t="s">
        <v>497</v>
      </c>
      <c r="B131" s="43" t="s">
        <v>199</v>
      </c>
      <c r="C131" s="8" t="s">
        <v>507</v>
      </c>
    </row>
    <row r="132" spans="1:3" x14ac:dyDescent="0.25">
      <c r="A132" s="15" t="s">
        <v>497</v>
      </c>
      <c r="B132" s="43" t="s">
        <v>200</v>
      </c>
      <c r="C132" s="8" t="s">
        <v>507</v>
      </c>
    </row>
    <row r="133" spans="1:3" x14ac:dyDescent="0.25">
      <c r="A133" s="15" t="s">
        <v>497</v>
      </c>
      <c r="B133" s="43" t="s">
        <v>201</v>
      </c>
      <c r="C133" s="8" t="s">
        <v>507</v>
      </c>
    </row>
    <row r="134" spans="1:3" x14ac:dyDescent="0.25">
      <c r="A134" s="15" t="s">
        <v>497</v>
      </c>
      <c r="B134" s="43" t="s">
        <v>202</v>
      </c>
      <c r="C134" s="8" t="s">
        <v>507</v>
      </c>
    </row>
    <row r="135" spans="1:3" x14ac:dyDescent="0.25">
      <c r="A135" s="15" t="s">
        <v>497</v>
      </c>
      <c r="B135" s="43" t="s">
        <v>203</v>
      </c>
      <c r="C135" s="8" t="s">
        <v>507</v>
      </c>
    </row>
    <row r="136" spans="1:3" ht="15.75" thickBot="1" x14ac:dyDescent="0.3">
      <c r="A136" s="18" t="s">
        <v>497</v>
      </c>
      <c r="B136" s="44" t="s">
        <v>204</v>
      </c>
      <c r="C136" s="7" t="s">
        <v>507</v>
      </c>
    </row>
    <row r="137" spans="1:3" ht="15.75" thickBot="1" x14ac:dyDescent="0.3">
      <c r="A137" s="40"/>
      <c r="B137" s="45" t="s">
        <v>205</v>
      </c>
    </row>
    <row r="138" spans="1:3" x14ac:dyDescent="0.25">
      <c r="A138" s="13" t="s">
        <v>498</v>
      </c>
      <c r="B138" s="46" t="s">
        <v>206</v>
      </c>
      <c r="C138" s="26" t="s">
        <v>503</v>
      </c>
    </row>
    <row r="139" spans="1:3" x14ac:dyDescent="0.25">
      <c r="A139" s="15" t="s">
        <v>488</v>
      </c>
      <c r="B139" s="47" t="s">
        <v>207</v>
      </c>
      <c r="C139" s="27"/>
    </row>
    <row r="140" spans="1:3" x14ac:dyDescent="0.25">
      <c r="A140" s="15" t="s">
        <v>497</v>
      </c>
      <c r="B140" s="47" t="s">
        <v>208</v>
      </c>
      <c r="C140" s="27"/>
    </row>
    <row r="141" spans="1:3" x14ac:dyDescent="0.25">
      <c r="A141" s="15" t="s">
        <v>497</v>
      </c>
      <c r="B141" s="47" t="s">
        <v>209</v>
      </c>
      <c r="C141" s="27"/>
    </row>
    <row r="142" spans="1:3" x14ac:dyDescent="0.25">
      <c r="A142" s="15" t="s">
        <v>488</v>
      </c>
      <c r="B142" s="50" t="s">
        <v>210</v>
      </c>
      <c r="C142" s="36"/>
    </row>
    <row r="143" spans="1:3" x14ac:dyDescent="0.25">
      <c r="A143" s="15" t="s">
        <v>488</v>
      </c>
      <c r="B143" s="47" t="s">
        <v>197</v>
      </c>
      <c r="C143" s="27"/>
    </row>
    <row r="144" spans="1:3" x14ac:dyDescent="0.25">
      <c r="A144" s="15" t="s">
        <v>488</v>
      </c>
      <c r="B144" s="47" t="s">
        <v>198</v>
      </c>
      <c r="C144" s="27"/>
    </row>
    <row r="145" spans="1:3" x14ac:dyDescent="0.25">
      <c r="A145" s="15" t="s">
        <v>497</v>
      </c>
      <c r="B145" s="47" t="s">
        <v>199</v>
      </c>
      <c r="C145" s="27" t="s">
        <v>507</v>
      </c>
    </row>
    <row r="146" spans="1:3" x14ac:dyDescent="0.25">
      <c r="A146" s="15" t="s">
        <v>497</v>
      </c>
      <c r="B146" s="47" t="s">
        <v>200</v>
      </c>
      <c r="C146" s="27" t="s">
        <v>507</v>
      </c>
    </row>
    <row r="147" spans="1:3" x14ac:dyDescent="0.25">
      <c r="A147" s="15" t="s">
        <v>497</v>
      </c>
      <c r="B147" s="47" t="s">
        <v>211</v>
      </c>
      <c r="C147" s="27" t="s">
        <v>510</v>
      </c>
    </row>
    <row r="148" spans="1:3" x14ac:dyDescent="0.25">
      <c r="A148" s="15" t="s">
        <v>488</v>
      </c>
      <c r="B148" s="47" t="s">
        <v>212</v>
      </c>
      <c r="C148" s="27"/>
    </row>
    <row r="149" spans="1:3" x14ac:dyDescent="0.25">
      <c r="A149" s="15" t="s">
        <v>488</v>
      </c>
      <c r="B149" s="47" t="s">
        <v>213</v>
      </c>
      <c r="C149" s="27"/>
    </row>
    <row r="150" spans="1:3" x14ac:dyDescent="0.25">
      <c r="A150" s="15" t="s">
        <v>488</v>
      </c>
      <c r="B150" s="47" t="s">
        <v>214</v>
      </c>
      <c r="C150" s="27"/>
    </row>
    <row r="151" spans="1:3" x14ac:dyDescent="0.25">
      <c r="A151" s="15" t="s">
        <v>488</v>
      </c>
      <c r="B151" s="47" t="s">
        <v>215</v>
      </c>
      <c r="C151" s="27"/>
    </row>
    <row r="152" spans="1:3" x14ac:dyDescent="0.25">
      <c r="A152" s="15" t="s">
        <v>488</v>
      </c>
      <c r="B152" s="47" t="s">
        <v>216</v>
      </c>
      <c r="C152" s="27"/>
    </row>
    <row r="153" spans="1:3" x14ac:dyDescent="0.25">
      <c r="A153" s="15" t="s">
        <v>488</v>
      </c>
      <c r="B153" s="47" t="s">
        <v>217</v>
      </c>
      <c r="C153" s="27"/>
    </row>
    <row r="154" spans="1:3" x14ac:dyDescent="0.25">
      <c r="A154" s="15" t="s">
        <v>497</v>
      </c>
      <c r="B154" s="47" t="s">
        <v>218</v>
      </c>
      <c r="C154" s="27" t="s">
        <v>507</v>
      </c>
    </row>
    <row r="155" spans="1:3" x14ac:dyDescent="0.25">
      <c r="A155" s="15" t="s">
        <v>497</v>
      </c>
      <c r="B155" s="47" t="s">
        <v>219</v>
      </c>
      <c r="C155" s="27" t="s">
        <v>507</v>
      </c>
    </row>
    <row r="156" spans="1:3" x14ac:dyDescent="0.25">
      <c r="A156" s="15" t="s">
        <v>488</v>
      </c>
      <c r="B156" s="47" t="s">
        <v>220</v>
      </c>
      <c r="C156" s="27"/>
    </row>
    <row r="157" spans="1:3" x14ac:dyDescent="0.25">
      <c r="A157" s="15" t="s">
        <v>488</v>
      </c>
      <c r="B157" s="47" t="s">
        <v>221</v>
      </c>
      <c r="C157" s="27"/>
    </row>
    <row r="158" spans="1:3" x14ac:dyDescent="0.25">
      <c r="A158" s="15" t="s">
        <v>498</v>
      </c>
      <c r="B158" s="47" t="s">
        <v>222</v>
      </c>
      <c r="C158" s="27" t="s">
        <v>502</v>
      </c>
    </row>
    <row r="159" spans="1:3" ht="15.75" thickBot="1" x14ac:dyDescent="0.3">
      <c r="A159" s="18" t="s">
        <v>488</v>
      </c>
      <c r="B159" s="48" t="s">
        <v>223</v>
      </c>
      <c r="C159" s="28"/>
    </row>
    <row r="160" spans="1:3" ht="15.75" thickBot="1" x14ac:dyDescent="0.3">
      <c r="A160" s="40"/>
      <c r="B160" s="45" t="s">
        <v>285</v>
      </c>
    </row>
    <row r="161" spans="1:3" x14ac:dyDescent="0.25">
      <c r="A161" s="61" t="s">
        <v>488</v>
      </c>
      <c r="B161" s="46" t="s">
        <v>286</v>
      </c>
      <c r="C161" s="26" t="s">
        <v>500</v>
      </c>
    </row>
    <row r="162" spans="1:3" x14ac:dyDescent="0.25">
      <c r="A162" s="15" t="s">
        <v>497</v>
      </c>
      <c r="B162" s="47" t="s">
        <v>287</v>
      </c>
      <c r="C162" s="27"/>
    </row>
    <row r="163" spans="1:3" x14ac:dyDescent="0.25">
      <c r="A163" s="15" t="s">
        <v>497</v>
      </c>
      <c r="B163" s="47" t="s">
        <v>288</v>
      </c>
      <c r="C163" s="27"/>
    </row>
    <row r="164" spans="1:3" x14ac:dyDescent="0.25">
      <c r="A164" s="62" t="s">
        <v>488</v>
      </c>
      <c r="B164" s="47" t="s">
        <v>289</v>
      </c>
      <c r="C164" s="27"/>
    </row>
    <row r="165" spans="1:3" ht="30" x14ac:dyDescent="0.25">
      <c r="A165" s="62" t="s">
        <v>498</v>
      </c>
      <c r="B165" s="47" t="s">
        <v>290</v>
      </c>
      <c r="C165" s="36" t="s">
        <v>504</v>
      </c>
    </row>
    <row r="166" spans="1:3" x14ac:dyDescent="0.25">
      <c r="A166" s="62" t="s">
        <v>488</v>
      </c>
      <c r="B166" s="47" t="s">
        <v>291</v>
      </c>
      <c r="C166" s="27"/>
    </row>
    <row r="167" spans="1:3" ht="15.75" thickBot="1" x14ac:dyDescent="0.3">
      <c r="A167" s="63" t="s">
        <v>488</v>
      </c>
      <c r="B167" s="48" t="s">
        <v>292</v>
      </c>
      <c r="C167" s="64"/>
    </row>
  </sheetData>
  <mergeCells count="3">
    <mergeCell ref="B2:C2"/>
    <mergeCell ref="B8:C8"/>
    <mergeCell ref="B11:C11"/>
  </mergeCells>
  <conditionalFormatting sqref="A3:A73 A75:A106 A108:A127 A129:A136 A138:A159 A161:A167">
    <cfRule type="containsText" dxfId="14" priority="1" operator="containsText" text="Not Started">
      <formula>NOT(ISERROR(SEARCH("Not Started",A3)))</formula>
    </cfRule>
    <cfRule type="containsText" dxfId="13" priority="14" operator="containsText" text="Not Supported">
      <formula>NOT(ISERROR(SEARCH("Not Supported",A3)))</formula>
    </cfRule>
    <cfRule type="containsText" dxfId="12" priority="15" operator="containsText" text="Partial Support">
      <formula>NOT(ISERROR(SEARCH("Partial Support",A3)))</formula>
    </cfRule>
    <cfRule type="containsText" dxfId="11" priority="16" operator="containsText" text="Supported">
      <formula>NOT(ISERROR(SEARCH("Supported",A3)))</formula>
    </cfRule>
    <cfRule type="containsText" dxfId="10" priority="17" operator="containsText" text="Working">
      <formula>NOT(ISERROR(SEARCH("Working",A3)))</formula>
    </cfRule>
  </conditionalFormatting>
  <conditionalFormatting sqref="B3:B167">
    <cfRule type="expression" dxfId="9" priority="2">
      <formula xml:space="preserve"> AND($A3 = "Not Started", MOD(ROW(),2) = 1)</formula>
    </cfRule>
    <cfRule type="expression" dxfId="8" priority="3">
      <formula xml:space="preserve"> AND($A3 = "Not Started", MOD(ROW(),2) = 0)</formula>
    </cfRule>
    <cfRule type="expression" dxfId="7" priority="4">
      <formula xml:space="preserve"> AND($A3 = "Working", MOD(ROW(),2) = 0)</formula>
    </cfRule>
    <cfRule type="expression" dxfId="6" priority="5">
      <formula xml:space="preserve"> AND($A3 = "Supported", MOD(ROW(),2) = 0)</formula>
    </cfRule>
    <cfRule type="expression" dxfId="5" priority="6">
      <formula xml:space="preserve"> AND($A3 = "Partial Support", MOD(ROW(),2) = 0)</formula>
    </cfRule>
    <cfRule type="expression" dxfId="4" priority="7">
      <formula xml:space="preserve"> AND($A3 = "Not Supported", MOD(ROW(),2) = 0)</formula>
    </cfRule>
    <cfRule type="expression" dxfId="3" priority="8">
      <formula xml:space="preserve"> AND($A3 = "Not Supported", MOD(ROW(),2)=1)</formula>
    </cfRule>
    <cfRule type="expression" dxfId="2" priority="9">
      <formula xml:space="preserve"> AND($A3 = "Partial Support", MOD(ROW(),2) = 1)</formula>
    </cfRule>
    <cfRule type="expression" dxfId="1" priority="10">
      <formula xml:space="preserve"> AND($A3 = "Supported", MOD(ROW(),2) = 1)</formula>
    </cfRule>
    <cfRule type="expression" dxfId="0" priority="11">
      <formula xml:space="preserve"> AND($A3 = "Working", MOD(ROW(),2) = 1)</formula>
    </cfRule>
  </conditionalFormatting>
  <dataValidations count="1">
    <dataValidation type="list" allowBlank="1" showInputMessage="1" showErrorMessage="1" sqref="A12:A44 A3:A7 A129:A136 A108:A127 A46:A73 A138:A159 A9:A10 A75:A106 A161:A167" xr:uid="{4EFA3995-43F0-4AA8-BE1D-FFE9CB5CE865}">
      <formula1>"Not Started, Working, Supported, Partial Support, Not Supported"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Supported Commands</vt:lpstr>
      <vt:lpstr>Status Model</vt:lpstr>
      <vt:lpstr>Todo List</vt:lpstr>
      <vt:lpstr>Customer Supported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Bindewald, Oliver</dc:creator>
  <cp:lastModifiedBy>Bindewald, Oliver</cp:lastModifiedBy>
  <dcterms:created xsi:type="dcterms:W3CDTF">2015-06-05T18:17:20Z</dcterms:created>
  <dcterms:modified xsi:type="dcterms:W3CDTF">2025-12-10T16:25:10Z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dc0b0e-a32e-4bdd-9c43-bcb4549492fc_Enabled">
    <vt:lpwstr>true</vt:lpwstr>
  </property>
  <property fmtid="{D5CDD505-2E9C-101B-9397-08002B2CF9AE}" pid="3" name="MSIP_Label_bedc0b0e-a32e-4bdd-9c43-bcb4549492fc_SetDate">
    <vt:lpwstr>2025-11-03T16:14:53Z</vt:lpwstr>
  </property>
  <property fmtid="{D5CDD505-2E9C-101B-9397-08002B2CF9AE}" pid="4" name="MSIP_Label_bedc0b0e-a32e-4bdd-9c43-bcb4549492fc_Method">
    <vt:lpwstr>Standard</vt:lpwstr>
  </property>
  <property fmtid="{D5CDD505-2E9C-101B-9397-08002B2CF9AE}" pid="5" name="MSIP_Label_bedc0b0e-a32e-4bdd-9c43-bcb4549492fc_Name">
    <vt:lpwstr>RAL-Public</vt:lpwstr>
  </property>
  <property fmtid="{D5CDD505-2E9C-101B-9397-08002B2CF9AE}" pid="6" name="MSIP_Label_bedc0b0e-a32e-4bdd-9c43-bcb4549492fc_SiteId">
    <vt:lpwstr>523cf7c2-a9b1-496c-b186-811193b6880f</vt:lpwstr>
  </property>
  <property fmtid="{D5CDD505-2E9C-101B-9397-08002B2CF9AE}" pid="7" name="MSIP_Label_bedc0b0e-a32e-4bdd-9c43-bcb4549492fc_ActionId">
    <vt:lpwstr>13794b43-2faf-436a-b43f-b2eecacca3ad</vt:lpwstr>
  </property>
  <property fmtid="{D5CDD505-2E9C-101B-9397-08002B2CF9AE}" pid="8" name="MSIP_Label_bedc0b0e-a32e-4bdd-9c43-bcb4549492fc_ContentBits">
    <vt:lpwstr>0</vt:lpwstr>
  </property>
  <property fmtid="{D5CDD505-2E9C-101B-9397-08002B2CF9AE}" pid="9" name="MSIP_Label_bedc0b0e-a32e-4bdd-9c43-bcb4549492fc_Tag">
    <vt:lpwstr>10, 3, 0, 1</vt:lpwstr>
  </property>
</Properties>
</file>